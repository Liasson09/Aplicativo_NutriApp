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workbookPr filterPrivacy="1" codeName="ThisWorkbook"/>
  <xr:revisionPtr revIDLastSave="0" documentId="13_ncr:1_{FB542395-82C7-4D92-9964-67088D8FD4AD}" xr6:coauthVersionLast="47" xr6:coauthVersionMax="47" xr10:uidLastSave="{00000000-0000-0000-0000-000000000000}"/>
  <bookViews>
    <workbookView xWindow="-120" yWindow="-120" windowWidth="21840" windowHeight="13140"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3" i="11" l="1"/>
  <c r="F34" i="11" s="1"/>
  <c r="F35" i="11" s="1"/>
  <c r="F32" i="11"/>
  <c r="F21" i="11"/>
  <c r="F22" i="11"/>
  <c r="F23" i="11" s="1"/>
  <c r="F24" i="11" s="1"/>
  <c r="F11" i="11"/>
  <c r="F12" i="11"/>
  <c r="F13" i="11" s="1"/>
  <c r="F15" i="11" s="1"/>
  <c r="F16" i="11" s="1"/>
  <c r="F17" i="11" s="1"/>
  <c r="F18" i="11" s="1"/>
  <c r="F27" i="11"/>
  <c r="F28" i="11"/>
  <c r="F29" i="11" s="1"/>
  <c r="F30" i="11" s="1"/>
  <c r="F36" i="11" l="1"/>
  <c r="I5" i="11"/>
  <c r="I16" i="11" l="1"/>
  <c r="I34" i="11"/>
  <c r="I9" i="11"/>
  <c r="I35" i="11"/>
  <c r="I14" i="11"/>
  <c r="I7" i="11"/>
  <c r="I4" i="11"/>
  <c r="I20" i="11"/>
  <c r="I18" i="11"/>
  <c r="I11" i="11"/>
  <c r="I12" i="11"/>
  <c r="I36" i="11"/>
  <c r="I17" i="11"/>
  <c r="I29" i="11"/>
  <c r="I15" i="11"/>
  <c r="I28" i="11"/>
  <c r="J5" i="11"/>
  <c r="I21" i="11"/>
  <c r="I25" i="11"/>
  <c r="I10" i="11"/>
  <c r="I27" i="11"/>
  <c r="I22" i="11"/>
  <c r="I23" i="11"/>
  <c r="J27" i="11" l="1"/>
  <c r="J34" i="11"/>
  <c r="J20" i="11"/>
  <c r="J21" i="11"/>
  <c r="K5" i="11"/>
  <c r="J15" i="11"/>
  <c r="J36" i="11"/>
  <c r="J9" i="11"/>
  <c r="J11" i="11"/>
  <c r="J29" i="11"/>
  <c r="J12" i="11"/>
  <c r="J28" i="11"/>
  <c r="J7" i="11"/>
  <c r="J10" i="11"/>
  <c r="J17" i="11"/>
  <c r="J18" i="11"/>
  <c r="J16" i="11"/>
  <c r="J14" i="11"/>
  <c r="J25" i="11"/>
  <c r="J35" i="11"/>
  <c r="J22" i="11"/>
  <c r="J23" i="11"/>
  <c r="K18" i="11" l="1"/>
  <c r="K14" i="11"/>
  <c r="K25" i="11"/>
  <c r="K10" i="11"/>
  <c r="K29" i="11"/>
  <c r="K21" i="11"/>
  <c r="K22" i="11"/>
  <c r="K9" i="11"/>
  <c r="K20" i="11"/>
  <c r="K28" i="11"/>
  <c r="K16" i="11"/>
  <c r="K12" i="11"/>
  <c r="K7" i="11"/>
  <c r="L5" i="11"/>
  <c r="K17" i="11"/>
  <c r="K11" i="11"/>
  <c r="K35" i="11"/>
  <c r="K34" i="11"/>
  <c r="K15" i="11"/>
  <c r="K36" i="11"/>
  <c r="K27" i="11"/>
  <c r="K23" i="11"/>
  <c r="L17" i="11" l="1"/>
  <c r="L28" i="11"/>
  <c r="L23" i="11"/>
  <c r="L14" i="11"/>
  <c r="L29" i="11"/>
  <c r="L10" i="11"/>
  <c r="L22" i="11"/>
  <c r="L12" i="11"/>
  <c r="L36" i="11"/>
  <c r="L35" i="11"/>
  <c r="L16" i="11"/>
  <c r="L18" i="11"/>
  <c r="L34" i="11"/>
  <c r="L11" i="11"/>
  <c r="L9" i="11"/>
  <c r="L7" i="11"/>
  <c r="L21" i="11"/>
  <c r="L15" i="11"/>
  <c r="L25" i="11"/>
  <c r="L20" i="11"/>
  <c r="L27" i="11"/>
  <c r="M5" i="11"/>
  <c r="M21" i="11" l="1"/>
  <c r="M16" i="11"/>
  <c r="M35" i="11"/>
  <c r="M23" i="11"/>
  <c r="M20" i="11"/>
  <c r="M10" i="11"/>
  <c r="M9" i="11"/>
  <c r="M34" i="11"/>
  <c r="M15" i="11"/>
  <c r="M7" i="11"/>
  <c r="M27" i="11"/>
  <c r="M14" i="11"/>
  <c r="M22" i="11"/>
  <c r="N5" i="11"/>
  <c r="M25" i="11"/>
  <c r="M28" i="11"/>
  <c r="M29" i="11"/>
  <c r="M11" i="11"/>
  <c r="M18" i="11"/>
  <c r="M17" i="11"/>
  <c r="M36" i="11"/>
  <c r="M12" i="11"/>
  <c r="N11" i="11" l="1"/>
  <c r="N10" i="11"/>
  <c r="N35" i="11"/>
  <c r="N27" i="11"/>
  <c r="N15" i="11"/>
  <c r="N22" i="11"/>
  <c r="N7" i="11"/>
  <c r="N23" i="11"/>
  <c r="N12" i="11"/>
  <c r="N9" i="11"/>
  <c r="N20" i="11"/>
  <c r="N16" i="11"/>
  <c r="O5" i="11"/>
  <c r="N18" i="11"/>
  <c r="N14" i="11"/>
  <c r="N28" i="11"/>
  <c r="N17" i="11"/>
  <c r="N36" i="11"/>
  <c r="N34" i="11"/>
  <c r="N29" i="11"/>
  <c r="N25" i="11"/>
  <c r="N21" i="11"/>
  <c r="O12" i="11" l="1"/>
  <c r="O22" i="11"/>
  <c r="O34" i="11"/>
  <c r="O11" i="11"/>
  <c r="O35" i="11"/>
  <c r="O7" i="11"/>
  <c r="O29" i="11"/>
  <c r="O28" i="11"/>
  <c r="O9" i="11"/>
  <c r="O27" i="11"/>
  <c r="O14" i="11"/>
  <c r="O21" i="11"/>
  <c r="O20" i="11"/>
  <c r="O17" i="11"/>
  <c r="O10" i="11"/>
  <c r="O23" i="11"/>
  <c r="O25" i="11"/>
  <c r="O15" i="11"/>
  <c r="O36" i="11"/>
  <c r="O18" i="11"/>
  <c r="O16" i="11"/>
  <c r="P5" i="11"/>
  <c r="P16" i="11" l="1"/>
  <c r="P36" i="11"/>
  <c r="P18" i="11"/>
  <c r="P28" i="11"/>
  <c r="Q5" i="11"/>
  <c r="P20" i="11"/>
  <c r="P7" i="11"/>
  <c r="P34" i="11"/>
  <c r="P10" i="11"/>
  <c r="P11" i="11"/>
  <c r="P4" i="11"/>
  <c r="P35" i="11"/>
  <c r="P12" i="11"/>
  <c r="P25" i="11"/>
  <c r="P14" i="11"/>
  <c r="P29" i="11"/>
  <c r="P9" i="11"/>
  <c r="P15" i="11"/>
  <c r="P27" i="11"/>
  <c r="P17" i="11"/>
  <c r="P22" i="11"/>
  <c r="P23" i="11"/>
  <c r="P21" i="11"/>
  <c r="Q22" i="11" l="1"/>
  <c r="Q11" i="11"/>
  <c r="Q15" i="11"/>
  <c r="Q16" i="11"/>
  <c r="Q9" i="11"/>
  <c r="Q23" i="11"/>
  <c r="Q18" i="11"/>
  <c r="Q14" i="11"/>
  <c r="Q12" i="11"/>
  <c r="Q27" i="11"/>
  <c r="Q36" i="11"/>
  <c r="Q17" i="11"/>
  <c r="Q7" i="11"/>
  <c r="Q34" i="11"/>
  <c r="Q20" i="11"/>
  <c r="Q21" i="11"/>
  <c r="Q25" i="11"/>
  <c r="Q29" i="11"/>
  <c r="Q28" i="11"/>
  <c r="Q10" i="11"/>
  <c r="Q35" i="11"/>
  <c r="R5" i="11"/>
  <c r="R15" i="11" l="1"/>
  <c r="R22" i="11"/>
  <c r="R9" i="11"/>
  <c r="R17" i="11"/>
  <c r="R11" i="11"/>
  <c r="R18" i="11"/>
  <c r="R12" i="11"/>
  <c r="R23" i="11"/>
  <c r="R10" i="11"/>
  <c r="R14" i="11"/>
  <c r="R16" i="11"/>
  <c r="R21" i="11"/>
  <c r="R35" i="11"/>
  <c r="R7" i="11"/>
  <c r="R27" i="11"/>
  <c r="R28" i="11"/>
  <c r="R25" i="11"/>
  <c r="R34" i="11"/>
  <c r="R36" i="11"/>
  <c r="R29" i="11"/>
  <c r="R20" i="11"/>
  <c r="S5" i="11"/>
  <c r="S25" i="11" l="1"/>
  <c r="S15" i="11"/>
  <c r="S23" i="11"/>
  <c r="S20" i="11"/>
  <c r="S18" i="11"/>
  <c r="S14" i="11"/>
  <c r="S10" i="11"/>
  <c r="T5" i="11"/>
  <c r="S27" i="11"/>
  <c r="S7" i="11"/>
  <c r="S35" i="11"/>
  <c r="S17" i="11"/>
  <c r="S9" i="11"/>
  <c r="S16" i="11"/>
  <c r="S11" i="11"/>
  <c r="S28" i="11"/>
  <c r="S12" i="11"/>
  <c r="S21" i="11"/>
  <c r="S22" i="11"/>
  <c r="S36" i="11"/>
  <c r="S34" i="11"/>
  <c r="S29" i="11"/>
  <c r="T11" i="11" l="1"/>
  <c r="T17" i="11"/>
  <c r="T35" i="11"/>
  <c r="T16" i="11"/>
  <c r="T9" i="11"/>
  <c r="U5" i="11"/>
  <c r="T12" i="11"/>
  <c r="T23" i="11"/>
  <c r="T18" i="11"/>
  <c r="T20" i="11"/>
  <c r="T15" i="11"/>
  <c r="T36" i="11"/>
  <c r="T29" i="11"/>
  <c r="T28" i="11"/>
  <c r="T34" i="11"/>
  <c r="T22" i="11"/>
  <c r="T25" i="11"/>
  <c r="T21" i="11"/>
  <c r="T14" i="11"/>
  <c r="T10" i="11"/>
  <c r="T7" i="11"/>
  <c r="T27" i="11"/>
  <c r="U15" i="11" l="1"/>
  <c r="U23" i="11"/>
  <c r="U10" i="11"/>
  <c r="U7" i="11"/>
  <c r="U27" i="11"/>
  <c r="U22" i="11"/>
  <c r="U11" i="11"/>
  <c r="U20" i="11"/>
  <c r="U9" i="11"/>
  <c r="U14" i="11"/>
  <c r="U21" i="11"/>
  <c r="V5" i="11"/>
  <c r="U25" i="11"/>
  <c r="U16" i="11"/>
  <c r="U34" i="11"/>
  <c r="U29" i="11"/>
  <c r="U28" i="11"/>
  <c r="U17" i="11"/>
  <c r="U36" i="11"/>
  <c r="U18" i="11"/>
  <c r="U12" i="11"/>
  <c r="U35" i="11"/>
  <c r="V14" i="11" l="1"/>
  <c r="V17" i="11"/>
  <c r="V34" i="11"/>
  <c r="V28" i="11"/>
  <c r="V22" i="11"/>
  <c r="V7" i="11"/>
  <c r="V11" i="11"/>
  <c r="W5" i="11"/>
  <c r="V15" i="11"/>
  <c r="V23" i="11"/>
  <c r="V25" i="11"/>
  <c r="V16" i="11"/>
  <c r="V29" i="11"/>
  <c r="V12" i="11"/>
  <c r="V35" i="11"/>
  <c r="V18" i="11"/>
  <c r="V27" i="11"/>
  <c r="V10" i="11"/>
  <c r="V36" i="11"/>
  <c r="V9" i="11"/>
  <c r="V21" i="11"/>
  <c r="V20" i="11"/>
  <c r="W16" i="11" l="1"/>
  <c r="W21" i="11"/>
  <c r="W34" i="11"/>
  <c r="W20" i="11"/>
  <c r="W27" i="11"/>
  <c r="W15" i="11"/>
  <c r="W17" i="11"/>
  <c r="X5" i="11"/>
  <c r="W10" i="11"/>
  <c r="W12" i="11"/>
  <c r="W4" i="11"/>
  <c r="W11" i="11"/>
  <c r="W9" i="11"/>
  <c r="W18" i="11"/>
  <c r="W22" i="11"/>
  <c r="W25" i="11"/>
  <c r="W29" i="11"/>
  <c r="W28" i="11"/>
  <c r="W35" i="11"/>
  <c r="W14" i="11"/>
  <c r="W36" i="11"/>
  <c r="W7" i="11"/>
  <c r="W23" i="11"/>
  <c r="X25" i="11" l="1"/>
  <c r="X21" i="11"/>
  <c r="X29" i="11"/>
  <c r="X14" i="11"/>
  <c r="X15" i="11"/>
  <c r="X23" i="11"/>
  <c r="X34" i="11"/>
  <c r="X20" i="11"/>
  <c r="X22" i="11"/>
  <c r="X11" i="11"/>
  <c r="X28" i="11"/>
  <c r="Y5" i="11"/>
  <c r="X18" i="11"/>
  <c r="X10" i="11"/>
  <c r="X16" i="11"/>
  <c r="X36" i="11"/>
  <c r="X35" i="11"/>
  <c r="X7" i="11"/>
  <c r="X17" i="11"/>
  <c r="X27" i="11"/>
  <c r="X12" i="11"/>
  <c r="X9" i="11"/>
  <c r="Y18" i="11" l="1"/>
  <c r="Y10" i="11"/>
  <c r="Y20" i="11"/>
  <c r="Y28" i="11"/>
  <c r="Y27" i="11"/>
  <c r="Y35" i="11"/>
  <c r="Y14" i="11"/>
  <c r="Y29" i="11"/>
  <c r="Y16" i="11"/>
  <c r="Y12" i="11"/>
  <c r="Y21" i="11"/>
  <c r="Z5" i="11"/>
  <c r="Y11" i="11"/>
  <c r="Y34" i="11"/>
  <c r="Y36" i="11"/>
  <c r="Y15" i="11"/>
  <c r="Y9" i="11"/>
  <c r="Y25" i="11"/>
  <c r="Y23" i="11"/>
  <c r="Y22" i="11"/>
  <c r="Y7" i="11"/>
  <c r="Y17" i="11"/>
  <c r="Z29" i="11" l="1"/>
  <c r="Z11" i="11"/>
  <c r="Z23" i="11"/>
  <c r="Z15" i="11"/>
  <c r="Z16" i="11"/>
  <c r="Z7" i="11"/>
  <c r="Z17" i="11"/>
  <c r="Z10" i="11"/>
  <c r="Z21" i="11"/>
  <c r="Z9" i="11"/>
  <c r="Z27" i="11"/>
  <c r="Z20" i="11"/>
  <c r="Z34" i="11"/>
  <c r="Z22" i="11"/>
  <c r="Z18" i="11"/>
  <c r="Z36" i="11"/>
  <c r="Z14" i="11"/>
  <c r="Z12" i="11"/>
  <c r="Z25" i="11"/>
  <c r="AA5" i="11"/>
  <c r="Z28" i="11"/>
  <c r="Z35" i="11"/>
  <c r="AA20" i="11" l="1"/>
  <c r="AA11" i="11"/>
  <c r="AA29" i="11"/>
  <c r="AA10" i="11"/>
  <c r="AA21" i="11"/>
  <c r="AB5" i="11"/>
  <c r="AA27" i="11"/>
  <c r="AA17" i="11"/>
  <c r="AA12" i="11"/>
  <c r="AA28" i="11"/>
  <c r="AA23" i="11"/>
  <c r="AA22" i="11"/>
  <c r="AA34" i="11"/>
  <c r="AA9" i="11"/>
  <c r="AA25" i="11"/>
  <c r="AA16" i="11"/>
  <c r="AA14" i="11"/>
  <c r="AA35" i="11"/>
  <c r="AA7" i="11"/>
  <c r="AA15" i="11"/>
  <c r="AA36" i="11"/>
  <c r="AA18" i="11"/>
  <c r="AB34" i="11" l="1"/>
  <c r="AB35" i="11"/>
  <c r="AB25" i="11"/>
  <c r="AB10" i="11"/>
  <c r="AB11" i="11"/>
  <c r="AB7" i="11"/>
  <c r="AB27" i="11"/>
  <c r="AB28" i="11"/>
  <c r="AB12" i="11"/>
  <c r="AB29" i="11"/>
  <c r="AB21" i="11"/>
  <c r="AB17" i="11"/>
  <c r="AB20" i="11"/>
  <c r="AB15" i="11"/>
  <c r="AB9" i="11"/>
  <c r="AB14" i="11"/>
  <c r="AB22" i="11"/>
  <c r="AB36" i="11"/>
  <c r="AB16" i="11"/>
  <c r="AB23" i="11"/>
  <c r="AB18" i="11"/>
  <c r="AC5" i="11"/>
  <c r="AC17" i="11" l="1"/>
  <c r="AC25" i="11"/>
  <c r="AC18" i="11"/>
  <c r="AC23" i="11"/>
  <c r="AC27" i="11"/>
  <c r="AC35" i="11"/>
  <c r="AC9" i="11"/>
  <c r="AC36" i="11"/>
  <c r="AC29" i="11"/>
  <c r="AC11" i="11"/>
  <c r="AC12" i="11"/>
  <c r="AC16" i="11"/>
  <c r="AD5" i="11"/>
  <c r="AC7" i="11"/>
  <c r="AC10" i="11"/>
  <c r="AC20" i="11"/>
  <c r="AC28" i="11"/>
  <c r="AC22" i="11"/>
  <c r="AC21" i="11"/>
  <c r="AC34" i="11"/>
  <c r="AC15" i="11"/>
  <c r="AC14" i="11"/>
  <c r="AD28" i="11" l="1"/>
  <c r="AD14" i="11"/>
  <c r="AD4" i="11"/>
  <c r="AD35" i="11"/>
  <c r="AD22" i="11"/>
  <c r="AD10" i="11"/>
  <c r="AD23" i="11"/>
  <c r="AD11" i="11"/>
  <c r="AD12" i="11"/>
  <c r="AD29" i="11"/>
  <c r="AD18" i="11"/>
  <c r="AE5" i="11"/>
  <c r="AD16" i="11"/>
  <c r="AD15" i="11"/>
  <c r="AD27" i="11"/>
  <c r="AD17" i="11"/>
  <c r="AD7" i="11"/>
  <c r="AD36" i="11"/>
  <c r="AD20" i="11"/>
  <c r="AD9" i="11"/>
  <c r="AD25" i="11"/>
  <c r="AD21" i="11"/>
  <c r="AD34" i="11"/>
  <c r="AE11" i="11" l="1"/>
  <c r="AE9" i="11"/>
  <c r="AE21" i="11"/>
  <c r="AE15" i="11"/>
  <c r="AE7" i="11"/>
  <c r="AE28" i="11"/>
  <c r="AE35" i="11"/>
  <c r="AE14" i="11"/>
  <c r="AE23" i="11"/>
  <c r="AE36" i="11"/>
  <c r="AE25" i="11"/>
  <c r="AE22" i="11"/>
  <c r="AE17" i="11"/>
  <c r="AE18" i="11"/>
  <c r="AE29" i="11"/>
  <c r="AE20" i="11"/>
  <c r="AE27" i="11"/>
  <c r="AF5" i="11"/>
  <c r="AE12" i="11"/>
  <c r="AE34" i="11"/>
  <c r="AE10" i="11"/>
  <c r="AE16" i="11"/>
  <c r="AF34" i="11" l="1"/>
  <c r="AF7" i="11"/>
  <c r="AF17" i="11"/>
  <c r="AF11" i="11"/>
  <c r="AF15" i="11"/>
  <c r="AF29" i="11"/>
  <c r="AF16" i="11"/>
  <c r="AF25" i="11"/>
  <c r="AF23" i="11"/>
  <c r="AF22" i="11"/>
  <c r="AF35" i="11"/>
  <c r="AF27" i="11"/>
  <c r="AF21" i="11"/>
  <c r="AF14" i="11"/>
  <c r="AF18" i="11"/>
  <c r="AF10" i="11"/>
  <c r="AF36" i="11"/>
  <c r="AF20" i="11"/>
  <c r="AF28" i="11"/>
  <c r="AF12" i="11"/>
  <c r="AF9" i="11"/>
  <c r="AG5" i="11"/>
  <c r="AG29" i="11" l="1"/>
  <c r="AG27" i="11"/>
  <c r="AG22" i="11"/>
  <c r="AG9" i="11"/>
  <c r="AG34" i="11"/>
  <c r="AG25" i="11"/>
  <c r="AG14" i="11"/>
  <c r="AG21" i="11"/>
  <c r="AG11" i="11"/>
  <c r="AG28" i="11"/>
  <c r="AG35" i="11"/>
  <c r="AG20" i="11"/>
  <c r="AG7" i="11"/>
  <c r="AG16" i="11"/>
  <c r="AG23" i="11"/>
  <c r="AG15" i="11"/>
  <c r="AG10" i="11"/>
  <c r="AG18" i="11"/>
  <c r="AH5" i="11"/>
  <c r="AG36" i="11"/>
  <c r="AG17" i="11"/>
  <c r="AG12" i="11"/>
  <c r="AH21" i="11" l="1"/>
  <c r="AH20" i="11"/>
  <c r="AH7" i="11"/>
  <c r="AH14" i="11"/>
  <c r="AH35" i="11"/>
  <c r="AH11" i="11"/>
  <c r="AH18" i="11"/>
  <c r="AH9" i="11"/>
  <c r="AI5" i="11"/>
  <c r="AH34" i="11"/>
  <c r="AH23" i="11"/>
  <c r="AH10" i="11"/>
  <c r="AH22" i="11"/>
  <c r="AH27" i="11"/>
  <c r="AH12" i="11"/>
  <c r="AH29" i="11"/>
  <c r="AH16" i="11"/>
  <c r="AH36" i="11"/>
  <c r="AH17" i="11"/>
  <c r="AH15" i="11"/>
  <c r="AH28" i="11"/>
  <c r="AH25" i="11"/>
  <c r="AI27" i="11" l="1"/>
  <c r="AI12" i="11"/>
  <c r="AI22" i="11"/>
  <c r="AI11" i="11"/>
  <c r="AI29" i="11"/>
  <c r="AI17" i="11"/>
  <c r="AJ5" i="11"/>
  <c r="AI21" i="11"/>
  <c r="AI34" i="11"/>
  <c r="AI7" i="11"/>
  <c r="AI9" i="11"/>
  <c r="AI18" i="11"/>
  <c r="AI35" i="11"/>
  <c r="AI20" i="11"/>
  <c r="AI14" i="11"/>
  <c r="AI36" i="11"/>
  <c r="AI15" i="11"/>
  <c r="AI28" i="11"/>
  <c r="AI16" i="11"/>
  <c r="AI10" i="11"/>
  <c r="AI25" i="11"/>
  <c r="AI23" i="11"/>
  <c r="AJ21" i="11" l="1"/>
  <c r="AJ10" i="11"/>
  <c r="AJ27" i="11"/>
  <c r="AJ23" i="11"/>
  <c r="AJ7" i="11"/>
  <c r="AJ35" i="11"/>
  <c r="AJ15" i="11"/>
  <c r="AJ16" i="11"/>
  <c r="AJ20" i="11"/>
  <c r="AJ17" i="11"/>
  <c r="AK5" i="11"/>
  <c r="AJ25" i="11"/>
  <c r="AJ14" i="11"/>
  <c r="AJ36" i="11"/>
  <c r="AJ18" i="11"/>
  <c r="AJ28" i="11"/>
  <c r="AJ29" i="11"/>
  <c r="AJ9" i="11"/>
  <c r="AJ12" i="11"/>
  <c r="AJ34" i="11"/>
  <c r="AJ11" i="11"/>
  <c r="AJ22" i="11"/>
  <c r="AK28" i="11" l="1"/>
  <c r="AK7" i="11"/>
  <c r="AK4" i="11"/>
  <c r="AK16" i="11"/>
  <c r="AK12" i="11"/>
  <c r="AK10" i="11"/>
  <c r="AK27" i="11"/>
  <c r="AK14" i="11"/>
  <c r="AK17" i="11"/>
  <c r="AK18" i="11"/>
  <c r="AK35" i="11"/>
  <c r="AK20" i="11"/>
  <c r="AK36" i="11"/>
  <c r="AK22" i="11"/>
  <c r="AK11" i="11"/>
  <c r="AK23" i="11"/>
  <c r="AK15" i="11"/>
  <c r="AK34" i="11"/>
  <c r="AK9" i="11"/>
  <c r="AK21" i="11"/>
  <c r="AK29" i="11"/>
  <c r="AK25" i="11"/>
  <c r="AL5" i="11"/>
  <c r="AL36" i="11" l="1"/>
  <c r="AL25" i="11"/>
  <c r="AL17" i="11"/>
  <c r="AL34" i="11"/>
  <c r="AL18" i="11"/>
  <c r="AL22" i="11"/>
  <c r="AL11" i="11"/>
  <c r="AL29" i="11"/>
  <c r="AL7" i="11"/>
  <c r="AL35" i="11"/>
  <c r="AL21" i="11"/>
  <c r="AL16" i="11"/>
  <c r="AM5" i="11"/>
  <c r="AL12" i="11"/>
  <c r="AL20" i="11"/>
  <c r="AL28" i="11"/>
  <c r="AL23" i="11"/>
  <c r="AL10" i="11"/>
  <c r="AL27" i="11"/>
  <c r="AL9" i="11"/>
  <c r="AL14" i="11"/>
  <c r="AL15" i="11"/>
  <c r="AM35" i="11" l="1"/>
  <c r="AM27" i="11"/>
  <c r="AM10" i="11"/>
  <c r="AM23" i="11"/>
  <c r="AM16" i="11"/>
  <c r="AM28" i="11"/>
  <c r="AM7" i="11"/>
  <c r="AM11" i="11"/>
  <c r="AM21" i="11"/>
  <c r="AM18" i="11"/>
  <c r="AM20" i="11"/>
  <c r="AN5" i="11"/>
  <c r="AM29" i="11"/>
  <c r="AM17" i="11"/>
  <c r="AM14" i="11"/>
  <c r="AM15" i="11"/>
  <c r="AM9" i="11"/>
  <c r="AM25" i="11"/>
  <c r="AM22" i="11"/>
  <c r="AM34" i="11"/>
  <c r="AM36" i="11"/>
  <c r="AM12" i="11"/>
  <c r="AN20" i="11" l="1"/>
  <c r="AN10" i="11"/>
  <c r="AN35" i="11"/>
  <c r="AN23" i="11"/>
  <c r="AN28" i="11"/>
  <c r="AO5" i="11"/>
  <c r="AN7" i="11"/>
  <c r="AN11" i="11"/>
  <c r="AN17" i="11"/>
  <c r="AN18" i="11"/>
  <c r="AN15" i="11"/>
  <c r="AN25" i="11"/>
  <c r="AN12" i="11"/>
  <c r="AN29" i="11"/>
  <c r="AN34" i="11"/>
  <c r="AN22" i="11"/>
  <c r="AN9" i="11"/>
  <c r="AN36" i="11"/>
  <c r="AN21" i="11"/>
  <c r="AN14" i="11"/>
  <c r="AN27" i="11"/>
  <c r="AN16" i="11"/>
  <c r="AO17" i="11" l="1"/>
  <c r="AO9" i="11"/>
  <c r="AO21" i="11"/>
  <c r="AO7" i="11"/>
  <c r="AO20" i="11"/>
  <c r="AO15" i="11"/>
  <c r="AO11" i="11"/>
  <c r="AO28" i="11"/>
  <c r="AO25" i="11"/>
  <c r="AO12" i="11"/>
  <c r="AP5" i="11"/>
  <c r="AO18" i="11"/>
  <c r="AO10" i="11"/>
  <c r="AO36" i="11"/>
  <c r="AO22" i="11"/>
  <c r="AO16" i="11"/>
  <c r="AO23" i="11"/>
  <c r="AO14" i="11"/>
  <c r="AO29" i="11"/>
  <c r="AO34" i="11"/>
  <c r="AO35" i="11"/>
  <c r="AO27" i="11"/>
  <c r="AP11" i="11" l="1"/>
  <c r="AP10" i="11"/>
  <c r="AP35" i="11"/>
  <c r="AP9" i="11"/>
  <c r="AP21" i="11"/>
  <c r="AP12" i="11"/>
  <c r="AP7" i="11"/>
  <c r="AP27" i="11"/>
  <c r="AP15" i="11"/>
  <c r="AP16" i="11"/>
  <c r="AP28" i="11"/>
  <c r="AP22" i="11"/>
  <c r="AP20" i="11"/>
  <c r="AP36" i="11"/>
  <c r="AP34" i="11"/>
  <c r="AP29" i="11"/>
  <c r="AP14" i="11"/>
  <c r="AP25" i="11"/>
  <c r="AP17" i="11"/>
  <c r="AQ5" i="11"/>
  <c r="AP18" i="11"/>
  <c r="AP23" i="11"/>
  <c r="AQ11" i="11" l="1"/>
  <c r="AQ35" i="11"/>
  <c r="AQ20" i="11"/>
  <c r="AQ12" i="11"/>
  <c r="AQ16" i="11"/>
  <c r="AQ10" i="11"/>
  <c r="AR5" i="11"/>
  <c r="AQ21" i="11"/>
  <c r="AQ18" i="11"/>
  <c r="AQ9" i="11"/>
  <c r="AQ34" i="11"/>
  <c r="AQ29" i="11"/>
  <c r="AQ25" i="11"/>
  <c r="AQ17" i="11"/>
  <c r="AQ23" i="11"/>
  <c r="AQ14" i="11"/>
  <c r="AQ7" i="11"/>
  <c r="AQ22" i="11"/>
  <c r="AQ15" i="11"/>
  <c r="AQ27" i="11"/>
  <c r="AQ36" i="11"/>
  <c r="AQ28" i="11"/>
  <c r="AR20" i="11" l="1"/>
  <c r="AR12" i="11"/>
  <c r="AR34" i="11"/>
  <c r="AR10" i="11"/>
  <c r="AR16" i="11"/>
  <c r="AR9" i="11"/>
  <c r="AR4" i="11"/>
  <c r="AR22" i="11"/>
  <c r="AR36" i="11"/>
  <c r="AR27" i="11"/>
  <c r="AR7" i="11"/>
  <c r="AR29" i="11"/>
  <c r="AR23" i="11"/>
  <c r="AR28" i="11"/>
  <c r="AR18" i="11"/>
  <c r="AR35" i="11"/>
  <c r="AR17" i="11"/>
  <c r="AR14" i="11"/>
  <c r="AR15" i="11"/>
  <c r="AR11" i="11"/>
  <c r="AR21" i="11"/>
  <c r="AR25" i="11"/>
  <c r="AS5" i="11"/>
  <c r="AS21" i="11" l="1"/>
  <c r="AS7" i="11"/>
  <c r="AS15" i="11"/>
  <c r="AS20" i="11"/>
  <c r="AS34" i="11"/>
  <c r="AS27" i="11"/>
  <c r="AS23" i="11"/>
  <c r="AS36" i="11"/>
  <c r="AS14" i="11"/>
  <c r="AS16" i="11"/>
  <c r="AS9" i="11"/>
  <c r="AS10" i="11"/>
  <c r="AS35" i="11"/>
  <c r="AS25" i="11"/>
  <c r="AS28" i="11"/>
  <c r="AS12" i="11"/>
  <c r="AS18" i="11"/>
  <c r="AS22" i="11"/>
  <c r="AS11" i="11"/>
  <c r="AS29" i="11"/>
  <c r="AS17" i="11"/>
  <c r="AT5" i="11"/>
  <c r="AT36" i="11" l="1"/>
  <c r="AT17" i="11"/>
  <c r="AT15" i="11"/>
  <c r="AT25" i="11"/>
  <c r="AT16" i="11"/>
  <c r="AT18" i="11"/>
  <c r="AT11" i="11"/>
  <c r="AT29" i="11"/>
  <c r="AT9" i="11"/>
  <c r="AT20" i="11"/>
  <c r="AT28" i="11"/>
  <c r="AT35" i="11"/>
  <c r="AT34" i="11"/>
  <c r="AT10" i="11"/>
  <c r="AT7" i="11"/>
  <c r="AT12" i="11"/>
  <c r="AT27" i="11"/>
  <c r="AT21" i="11"/>
  <c r="AT23" i="11"/>
  <c r="AT14" i="11"/>
  <c r="AU5" i="11"/>
  <c r="AT22" i="11"/>
  <c r="AU10" i="11" l="1"/>
  <c r="AU22" i="11"/>
  <c r="AU29" i="11"/>
  <c r="AU27" i="11"/>
  <c r="AU7" i="11"/>
  <c r="AU28" i="11"/>
  <c r="AU11" i="11"/>
  <c r="AU14" i="11"/>
  <c r="AU21" i="11"/>
  <c r="AU34" i="11"/>
  <c r="AU18" i="11"/>
  <c r="AV5" i="11"/>
  <c r="AU35" i="11"/>
  <c r="AU25" i="11"/>
  <c r="AU20" i="11"/>
  <c r="AU23" i="11"/>
  <c r="AU16" i="11"/>
  <c r="AU15" i="11"/>
  <c r="AU36" i="11"/>
  <c r="AU9" i="11"/>
  <c r="AU17" i="11"/>
  <c r="AU12" i="11"/>
  <c r="AV11" i="11" l="1"/>
  <c r="AV17" i="11"/>
  <c r="AV14" i="11"/>
  <c r="AV29" i="11"/>
  <c r="AV23" i="11"/>
  <c r="AW5" i="11"/>
  <c r="AV7" i="11"/>
  <c r="AV35" i="11"/>
  <c r="AV27" i="11"/>
  <c r="AV36" i="11"/>
  <c r="AV9" i="11"/>
  <c r="AV10" i="11"/>
  <c r="AV16" i="11"/>
  <c r="AV18" i="11"/>
  <c r="AV12" i="11"/>
  <c r="AV15" i="11"/>
  <c r="AV20" i="11"/>
  <c r="AV22" i="11"/>
  <c r="AV34" i="11"/>
  <c r="AV28" i="11"/>
  <c r="AV21" i="11"/>
  <c r="AV25" i="11"/>
  <c r="AW25" i="11" l="1"/>
  <c r="AW7" i="11"/>
  <c r="AW15" i="11"/>
  <c r="AW23" i="11"/>
  <c r="AW34" i="11"/>
  <c r="AW29" i="11"/>
  <c r="AW27" i="11"/>
  <c r="AW17" i="11"/>
  <c r="AW12" i="11"/>
  <c r="AW28" i="11"/>
  <c r="AW16" i="11"/>
  <c r="AW9" i="11"/>
  <c r="AW22" i="11"/>
  <c r="AW20" i="11"/>
  <c r="AW14" i="11"/>
  <c r="AW18" i="11"/>
  <c r="AW21" i="11"/>
  <c r="AW11" i="11"/>
  <c r="AX5" i="11"/>
  <c r="AW35" i="11"/>
  <c r="AW36" i="11"/>
  <c r="AW10" i="11"/>
  <c r="AX35" i="11" l="1"/>
  <c r="AX10" i="11"/>
  <c r="AX16" i="11"/>
  <c r="AX12" i="11"/>
  <c r="AX18" i="11"/>
  <c r="AX36" i="11"/>
  <c r="AX29" i="11"/>
  <c r="AX11" i="11"/>
  <c r="AX23" i="11"/>
  <c r="AX14" i="11"/>
  <c r="AX7" i="11"/>
  <c r="AX28" i="11"/>
  <c r="AX22" i="11"/>
  <c r="AX21" i="11"/>
  <c r="AX25" i="11"/>
  <c r="AX20" i="11"/>
  <c r="AX27" i="11"/>
  <c r="AX17" i="11"/>
  <c r="AX15" i="11"/>
  <c r="AX9" i="11"/>
  <c r="AX34" i="11"/>
  <c r="AY5" i="11"/>
  <c r="AY16" i="11" l="1"/>
  <c r="AY25" i="11"/>
  <c r="AY22" i="11"/>
  <c r="AY7" i="11"/>
  <c r="AY15" i="11"/>
  <c r="AY4" i="11"/>
  <c r="AY28" i="11"/>
  <c r="AY36" i="11"/>
  <c r="AY10" i="11"/>
  <c r="AY12" i="11"/>
  <c r="AY29" i="11"/>
  <c r="AY14" i="11"/>
  <c r="AY35" i="11"/>
  <c r="AY18" i="11"/>
  <c r="AY23" i="11"/>
  <c r="AY21" i="11"/>
  <c r="AY20" i="11"/>
  <c r="AY11" i="11"/>
  <c r="AY34" i="11"/>
  <c r="AY9" i="11"/>
  <c r="AY17" i="11"/>
  <c r="AY27" i="11"/>
  <c r="AZ5" i="11"/>
  <c r="AZ14" i="11" l="1"/>
  <c r="AZ21" i="11"/>
  <c r="AZ22" i="11"/>
  <c r="AZ16" i="11"/>
  <c r="AZ15" i="11"/>
  <c r="AZ34" i="11"/>
  <c r="AZ36" i="11"/>
  <c r="AZ10" i="11"/>
  <c r="AZ25" i="11"/>
  <c r="AZ23" i="11"/>
  <c r="AZ7" i="11"/>
  <c r="AZ28" i="11"/>
  <c r="BA5" i="11"/>
  <c r="AZ11" i="11"/>
  <c r="AZ27" i="11"/>
  <c r="AZ9" i="11"/>
  <c r="AZ12" i="11"/>
  <c r="AZ35" i="11"/>
  <c r="AZ18" i="11"/>
  <c r="AZ20" i="11"/>
  <c r="AZ29" i="11"/>
  <c r="AZ17" i="11"/>
  <c r="BA15" i="11" l="1"/>
  <c r="BA29" i="11"/>
  <c r="BA23" i="11"/>
  <c r="BA27" i="11"/>
  <c r="BA12" i="11"/>
  <c r="BA22" i="11"/>
  <c r="BA9" i="11"/>
  <c r="BA7" i="11"/>
  <c r="BA25" i="11"/>
  <c r="BA18" i="11"/>
  <c r="BA10" i="11"/>
  <c r="BA28" i="11"/>
  <c r="BA11" i="11"/>
  <c r="BA36" i="11"/>
  <c r="BA34" i="11"/>
  <c r="BB5" i="11"/>
  <c r="BA17" i="11"/>
  <c r="BA21" i="11"/>
  <c r="BA35" i="11"/>
  <c r="BA14" i="11"/>
  <c r="BA16" i="11"/>
  <c r="BA20" i="11"/>
  <c r="BB15" i="11" l="1"/>
  <c r="BB10" i="11"/>
  <c r="BB25" i="11"/>
  <c r="BB11" i="11"/>
  <c r="BB21" i="11"/>
  <c r="BC5" i="11"/>
  <c r="BB14" i="11"/>
  <c r="BB34" i="11"/>
  <c r="BB16" i="11"/>
  <c r="BB22" i="11"/>
  <c r="BB27" i="11"/>
  <c r="BB35" i="11"/>
  <c r="BB12" i="11"/>
  <c r="BB17" i="11"/>
  <c r="BB9" i="11"/>
  <c r="BB28" i="11"/>
  <c r="BB18" i="11"/>
  <c r="BB23" i="11"/>
  <c r="BB36" i="11"/>
  <c r="BB29" i="11"/>
  <c r="BB20" i="11"/>
  <c r="BB7" i="11"/>
  <c r="BC18" i="11" l="1"/>
  <c r="BC22" i="11"/>
  <c r="BC20" i="11"/>
  <c r="BC15" i="11"/>
  <c r="BC16" i="11"/>
  <c r="BC21" i="11"/>
  <c r="BC7" i="11"/>
  <c r="BC11" i="11"/>
  <c r="BC34" i="11"/>
  <c r="BC23" i="11"/>
  <c r="BC9" i="11"/>
  <c r="BC28" i="11"/>
  <c r="BC14" i="11"/>
  <c r="BC17" i="11"/>
  <c r="BC25" i="11"/>
  <c r="BC10" i="11"/>
  <c r="BC27" i="11"/>
  <c r="BC29" i="11"/>
  <c r="BC12" i="11"/>
  <c r="BC36" i="11"/>
  <c r="BC35" i="11"/>
  <c r="BD5" i="11"/>
  <c r="BD25" i="11" l="1"/>
  <c r="BD34" i="11"/>
  <c r="BD10" i="11"/>
  <c r="BD35" i="11"/>
  <c r="BD16" i="11"/>
  <c r="BD23" i="11"/>
  <c r="BD12" i="11"/>
  <c r="BD27" i="11"/>
  <c r="BD9" i="11"/>
  <c r="BD18" i="11"/>
  <c r="BD11" i="11"/>
  <c r="BD21" i="11"/>
  <c r="BE5" i="11"/>
  <c r="BD15" i="11"/>
  <c r="BD36" i="11"/>
  <c r="BD28" i="11"/>
  <c r="BD22" i="11"/>
  <c r="BD7" i="11"/>
  <c r="BD29" i="11"/>
  <c r="BD17" i="11"/>
  <c r="BD14" i="11"/>
  <c r="BD20" i="11"/>
  <c r="BE25" i="11" l="1"/>
  <c r="BE16" i="11"/>
  <c r="BE12" i="11"/>
  <c r="BE15" i="11"/>
  <c r="BE9" i="11"/>
  <c r="BE29" i="11"/>
  <c r="BE21" i="11"/>
  <c r="BE28" i="11"/>
  <c r="BE17" i="11"/>
  <c r="BE35" i="11"/>
  <c r="BE20" i="11"/>
  <c r="BE22" i="11"/>
  <c r="BE36" i="11"/>
  <c r="BE11" i="11"/>
  <c r="BE14" i="11"/>
  <c r="BE23" i="11"/>
  <c r="BF5" i="11"/>
  <c r="BE18" i="11"/>
  <c r="BE10" i="11"/>
  <c r="BE34" i="11"/>
  <c r="BE7" i="11"/>
  <c r="BE27" i="11"/>
  <c r="BF20" i="11" l="1"/>
  <c r="BF34" i="11"/>
  <c r="BF28" i="11"/>
  <c r="BF25" i="11"/>
  <c r="BF12" i="11"/>
  <c r="BF14" i="11"/>
  <c r="BF16" i="11"/>
  <c r="BF21" i="11"/>
  <c r="BF15" i="11"/>
  <c r="BF9" i="11"/>
  <c r="BF17" i="11"/>
  <c r="BF18" i="11"/>
  <c r="BF27" i="11"/>
  <c r="BF35" i="11"/>
  <c r="BF29" i="11"/>
  <c r="BF4" i="11"/>
  <c r="BF23" i="11"/>
  <c r="BF11" i="11"/>
  <c r="BF22" i="11"/>
  <c r="BF7" i="11"/>
  <c r="BF36" i="11"/>
  <c r="BG5" i="11"/>
  <c r="BF10" i="11"/>
  <c r="BG16" i="11" l="1"/>
  <c r="BG10" i="11"/>
  <c r="BG29" i="11"/>
  <c r="BG34" i="11"/>
  <c r="BG12" i="11"/>
  <c r="BG23" i="11"/>
  <c r="BG25" i="11"/>
  <c r="BG27" i="11"/>
  <c r="BG15" i="11"/>
  <c r="BG11" i="11"/>
  <c r="BG9" i="11"/>
  <c r="BG14" i="11"/>
  <c r="BG18" i="11"/>
  <c r="BG21" i="11"/>
  <c r="BG36" i="11"/>
  <c r="BG28" i="11"/>
  <c r="BH5" i="11"/>
  <c r="BG35" i="11"/>
  <c r="BG20" i="11"/>
  <c r="BG17" i="11"/>
  <c r="BG22" i="11"/>
  <c r="BG7" i="11"/>
  <c r="BH28" i="11" l="1"/>
  <c r="BH21" i="11"/>
  <c r="BH35" i="11"/>
  <c r="BH12" i="11"/>
  <c r="BH34" i="11"/>
  <c r="BH25" i="11"/>
  <c r="BH16" i="11"/>
  <c r="BH36" i="11"/>
  <c r="BH23" i="11"/>
  <c r="BH15" i="11"/>
  <c r="BH17" i="11"/>
  <c r="BH10" i="11"/>
  <c r="BH9" i="11"/>
  <c r="BH14" i="11"/>
  <c r="BH18" i="11"/>
  <c r="BH20" i="11"/>
  <c r="BH27" i="11"/>
  <c r="BH7" i="11"/>
  <c r="BH11" i="11"/>
  <c r="BH22" i="11"/>
  <c r="BI5" i="11"/>
  <c r="BH29" i="11"/>
  <c r="BI22" i="11" l="1"/>
  <c r="BI11" i="11"/>
  <c r="BI14" i="11"/>
  <c r="BI27" i="11"/>
  <c r="BI25" i="11"/>
  <c r="BI29" i="11"/>
  <c r="BI35" i="11"/>
  <c r="BI18" i="11"/>
  <c r="BI17" i="11"/>
  <c r="BI28" i="11"/>
  <c r="BJ5" i="11"/>
  <c r="BI10" i="11"/>
  <c r="BI36" i="11"/>
  <c r="BI21" i="11"/>
  <c r="BI20" i="11"/>
  <c r="BI16" i="11"/>
  <c r="BI23" i="11"/>
  <c r="BI12" i="11"/>
  <c r="BI7" i="11"/>
  <c r="BI9" i="11"/>
  <c r="BI34" i="11"/>
  <c r="BI15" i="11"/>
  <c r="BJ10" i="11" l="1"/>
  <c r="BJ35" i="11"/>
  <c r="BK5" i="11"/>
  <c r="BJ7" i="11"/>
  <c r="BJ12" i="11"/>
  <c r="BJ21" i="11"/>
  <c r="BJ23" i="11"/>
  <c r="BJ22" i="11"/>
  <c r="BJ27" i="11"/>
  <c r="BJ28" i="11"/>
  <c r="BJ25" i="11"/>
  <c r="BJ9" i="11"/>
  <c r="BJ11" i="11"/>
  <c r="BJ14" i="11"/>
  <c r="BJ34" i="11"/>
  <c r="BJ17" i="11"/>
  <c r="BJ18" i="11"/>
  <c r="BJ36" i="11"/>
  <c r="BJ20" i="11"/>
  <c r="BJ16" i="11"/>
  <c r="BJ29" i="11"/>
  <c r="BJ15" i="11"/>
  <c r="BK15" i="11" l="1"/>
  <c r="BK12" i="11"/>
  <c r="BK16" i="11"/>
  <c r="BK7" i="11"/>
  <c r="BK25" i="11"/>
  <c r="BK11" i="11"/>
  <c r="BL5" i="11"/>
  <c r="BK20" i="11"/>
  <c r="BK34" i="11"/>
  <c r="BK10" i="11"/>
  <c r="BK23" i="11"/>
  <c r="BK18" i="11"/>
  <c r="BK27" i="11"/>
  <c r="BK21" i="11"/>
  <c r="BK14" i="11"/>
  <c r="BK28" i="11"/>
  <c r="BK22" i="11"/>
  <c r="BK9" i="11"/>
  <c r="BK17" i="11"/>
  <c r="BK29" i="11"/>
  <c r="BK35" i="11"/>
  <c r="BK36" i="11"/>
  <c r="BL14" i="11" l="1"/>
  <c r="BL21" i="11"/>
  <c r="BL17" i="11"/>
  <c r="BL35" i="11"/>
  <c r="BL34" i="11"/>
  <c r="BL16" i="11"/>
  <c r="BL10" i="11"/>
  <c r="BL15" i="11"/>
  <c r="BL28" i="11"/>
  <c r="BL12" i="11"/>
  <c r="BL22" i="11"/>
  <c r="BL23" i="11"/>
  <c r="BL36" i="11"/>
  <c r="BL18" i="11"/>
  <c r="BL7" i="11"/>
  <c r="BL25" i="11"/>
  <c r="BL11" i="11"/>
  <c r="BL29" i="11"/>
  <c r="BL27" i="11"/>
  <c r="BL20" i="11"/>
  <c r="BL9" i="11"/>
</calcChain>
</file>

<file path=xl/sharedStrings.xml><?xml version="1.0" encoding="utf-8"?>
<sst xmlns="http://schemas.openxmlformats.org/spreadsheetml/2006/main" count="108" uniqueCount="68">
  <si>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</si>
  <si>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</si>
  <si>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</si>
  <si>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</si>
  <si>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</si>
  <si>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</si>
  <si>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</si>
  <si>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</si>
  <si>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</si>
  <si>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Esta es una fila vacía.</t>
  </si>
  <si>
    <t>Esta fila marca la finalización de los datos de hito de Gantt. NO escriba nada en esta fila. 
Para agregar más elementos, inserte filas nuevas encima de esta.</t>
  </si>
  <si>
    <t>Descripción del hito</t>
  </si>
  <si>
    <t>Para agregar más datos, inserte filas nuevas ENCIMA de esta.</t>
  </si>
  <si>
    <t>Categoría</t>
  </si>
  <si>
    <t>Objetivo</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</si>
  <si>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</si>
  <si>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</si>
  <si>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</si>
  <si>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</si>
  <si>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</si>
  <si>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</si>
  <si>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</si>
  <si>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</si>
  <si>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</si>
  <si>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</si>
  <si>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</si>
  <si>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</si>
  <si>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</si>
  <si>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</si>
  <si>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</si>
  <si>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</si>
  <si>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</si>
  <si>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Resumen ejecutivo del proyecto</t>
  </si>
  <si>
    <t>Objetivos estratégicos</t>
  </si>
  <si>
    <t>Áreas del Proyecto</t>
  </si>
  <si>
    <t>Casos de Negocio</t>
  </si>
  <si>
    <t>Planificación del proyecto</t>
  </si>
  <si>
    <t>Gestión de requisitos</t>
  </si>
  <si>
    <t>Seguimiento del proyecto</t>
  </si>
  <si>
    <t>Gesión y acuerdos con proveedores</t>
  </si>
  <si>
    <t xml:space="preserve">Areas de Soporte </t>
  </si>
  <si>
    <t>Entrega de primer avance</t>
  </si>
  <si>
    <t>Medición y análisis</t>
  </si>
  <si>
    <t>Gestión de calidad de procesos y productos</t>
  </si>
  <si>
    <t>Gestión de la configuración del proyecto</t>
  </si>
  <si>
    <t>Scrum</t>
  </si>
  <si>
    <t>Planificación y  estimación</t>
  </si>
  <si>
    <t>Implementación y revisión</t>
  </si>
  <si>
    <t>Lanzamiento del proyecto</t>
  </si>
  <si>
    <t>Análisis de los objetivos</t>
  </si>
  <si>
    <t>Entrega del segundo avance</t>
  </si>
  <si>
    <t>Entrega del tercer avance</t>
  </si>
  <si>
    <t>Proyecto Final</t>
  </si>
  <si>
    <t>NUTRI APP</t>
  </si>
  <si>
    <t>UTP</t>
  </si>
  <si>
    <t>Miguel Huallpa</t>
  </si>
  <si>
    <t>Hito</t>
  </si>
  <si>
    <t>Definición del problema</t>
  </si>
  <si>
    <t>Análisis del contexto de la empresa</t>
  </si>
  <si>
    <t>Lecciones</t>
  </si>
  <si>
    <t>Identificación del desempeño del proyecto</t>
  </si>
  <si>
    <t>Identificación de las causas</t>
  </si>
  <si>
    <t>Análisis de los implevistos generados</t>
  </si>
  <si>
    <t>Miguel</t>
  </si>
  <si>
    <t>Gustavo</t>
  </si>
  <si>
    <t>Milagros</t>
  </si>
  <si>
    <t>Todos los participantes</t>
  </si>
  <si>
    <t>Isaías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</si>
</sst>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 &quot;€&quot;_-;\-* #,##0\ &quot;€&quot;_-;_-* &quot;-&quot;\ &quot;€&quot;_-;_-@_-"/>
    <numFmt numFmtId="165" formatCode="_-* #,##0.00\ &quot;€&quot;_-;\-* #,##0.00\ &quot;€&quot;_-;_-* &quot;-&quot;??\ &quot;€&quot;_-;_-@_-"/>
    <numFmt numFmtId="166" formatCode="_(* #,##0.00_);_(* \(#,##0.00\);_(* &quot;-&quot;??_);_(@_)"/>
    <numFmt numFmtId="167" formatCode="d"/>
    <numFmt numFmtId="168" formatCode="#,##0_ ;\-#,##0\ "/>
  </numFmts>
  <fonts count="31"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0">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3" fillId="0" borderId="0" applyNumberFormat="0" applyFill="0" applyBorder="0" applyAlignment="0" applyProtection="0">
      <alignment vertical="top"/>
      <protection locked="0"/>
    </xf>
    <xf numFmtId="9" fontId="6" fillId="0" borderId="0" applyFont="0" applyFill="0" applyBorder="0" applyProtection="0">
      <alignment horizontal="center" vertical="center"/>
    </xf>
    <xf numFmtId="0" fontId="14" fillId="0" borderId="0"/>
    <xf numFmtId="166" fontId="6" fillId="0" borderId="1" applyFont="0" applyFill="0" applyAlignment="0" applyProtection="0"/>
    <xf numFmtId="0" fontId="8"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6" fillId="0" borderId="0" applyNumberFormat="0" applyFill="0" applyProtection="0">
      <alignment horizontal="right" vertical="center" indent="1"/>
    </xf>
    <xf numFmtId="14" fontId="6" fillId="0" borderId="0" applyFont="0" applyFill="0" applyBorder="0">
      <alignment horizontal="center" vertical="center"/>
    </xf>
    <xf numFmtId="168" fontId="6" fillId="0" borderId="0" applyFont="0" applyFill="0" applyBorder="0" applyProtection="0">
      <alignment horizontal="center" vertical="center"/>
    </xf>
    <xf numFmtId="165" fontId="6" fillId="0" borderId="0" applyFont="0" applyFill="0" applyBorder="0" applyAlignment="0" applyProtection="0"/>
    <xf numFmtId="164" fontId="6" fillId="0" borderId="0" applyFont="0" applyFill="0" applyBorder="0" applyAlignment="0" applyProtection="0"/>
    <xf numFmtId="0" fontId="20" fillId="0" borderId="0" applyNumberFormat="0" applyFill="0" applyBorder="0" applyAlignment="0" applyProtection="0"/>
    <xf numFmtId="0" fontId="21" fillId="10" borderId="0" applyNumberFormat="0" applyBorder="0" applyAlignment="0" applyProtection="0"/>
    <xf numFmtId="0" fontId="22" fillId="11" borderId="0" applyNumberFormat="0" applyBorder="0" applyAlignment="0" applyProtection="0"/>
    <xf numFmtId="0" fontId="23" fillId="12" borderId="0" applyNumberFormat="0" applyBorder="0" applyAlignment="0" applyProtection="0"/>
    <xf numFmtId="0" fontId="24" fillId="13" borderId="14" applyNumberFormat="0" applyAlignment="0" applyProtection="0"/>
    <xf numFmtId="0" fontId="25" fillId="14" borderId="15" applyNumberFormat="0" applyAlignment="0" applyProtection="0"/>
    <xf numFmtId="0" fontId="26" fillId="14" borderId="14" applyNumberFormat="0" applyAlignment="0" applyProtection="0"/>
    <xf numFmtId="0" fontId="27" fillId="0" borderId="16" applyNumberFormat="0" applyFill="0" applyAlignment="0" applyProtection="0"/>
    <xf numFmtId="0" fontId="28" fillId="15" borderId="17" applyNumberFormat="0" applyAlignment="0" applyProtection="0"/>
    <xf numFmtId="0" fontId="29" fillId="0" borderId="0" applyNumberFormat="0" applyFill="0" applyBorder="0" applyAlignment="0" applyProtection="0"/>
    <xf numFmtId="0" fontId="6" fillId="16" borderId="18" applyNumberFormat="0" applyFont="0" applyAlignment="0" applyProtection="0"/>
    <xf numFmtId="0" fontId="30" fillId="0" borderId="0" applyNumberFormat="0" applyFill="0" applyBorder="0" applyAlignment="0" applyProtection="0"/>
    <xf numFmtId="0" fontId="5" fillId="0" borderId="19" applyNumberFormat="0" applyFill="0" applyAlignment="0" applyProtection="0"/>
    <xf numFmtId="0" fontId="14"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14"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14"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6" fillId="28" borderId="0" applyNumberFormat="0" applyBorder="0" applyAlignment="0" applyProtection="0"/>
    <xf numFmtId="0" fontId="14"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14"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6" fillId="36" borderId="0" applyNumberFormat="0" applyBorder="0" applyAlignment="0" applyProtection="0"/>
    <xf numFmtId="0" fontId="14"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0" borderId="0" applyNumberFormat="0" applyBorder="0" applyAlignment="0" applyProtection="0"/>
  </cellStyleXfs>
  <cellXfs count="61">
    <xf numFmtId="0" fontId="0" fillId="0" borderId="0" xfId="0"/>
    <xf numFmtId="0" fontId="1" fillId="0" borderId="0" xfId="0" applyFont="1" applyAlignment="1">
      <alignment horizontal="left"/>
    </xf>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9" fillId="0" borderId="0" xfId="0" applyFont="1"/>
    <xf numFmtId="0" fontId="10" fillId="0" borderId="0" xfId="1" applyFont="1" applyAlignment="1" applyProtection="1"/>
    <xf numFmtId="0" fontId="2" fillId="0" borderId="0" xfId="0" applyFont="1" applyAlignment="1">
      <alignment horizontal="center" vertical="center"/>
    </xf>
    <xf numFmtId="0" fontId="2" fillId="0" borderId="0" xfId="0" applyFont="1"/>
    <xf numFmtId="0" fontId="11" fillId="0" borderId="0" xfId="0" applyFont="1"/>
    <xf numFmtId="0" fontId="2" fillId="0" borderId="0" xfId="0" applyFont="1" applyAlignment="1">
      <alignment vertical="top"/>
    </xf>
    <xf numFmtId="0" fontId="13" fillId="0" borderId="0" xfId="0" applyFont="1" applyAlignment="1">
      <alignment vertical="center"/>
    </xf>
    <xf numFmtId="0" fontId="12" fillId="0" borderId="0" xfId="0" applyFont="1" applyAlignment="1">
      <alignment horizontal="left" vertical="top" wrapText="1" indent="1"/>
    </xf>
    <xf numFmtId="0" fontId="0" fillId="0" borderId="0" xfId="0" applyAlignment="1">
      <alignment vertical="top" wrapText="1"/>
    </xf>
    <xf numFmtId="0" fontId="14" fillId="0" borderId="0" xfId="3"/>
    <xf numFmtId="0" fontId="14" fillId="0" borderId="0" xfId="3" applyAlignment="1">
      <alignment wrapText="1"/>
    </xf>
    <xf numFmtId="0" fontId="14" fillId="0" borderId="0" xfId="0" applyFont="1" applyAlignment="1">
      <alignment horizontal="center"/>
    </xf>
    <xf numFmtId="0" fontId="8" fillId="0" borderId="0" xfId="5" applyAlignment="1">
      <alignment horizontal="left"/>
    </xf>
    <xf numFmtId="0" fontId="7" fillId="0" borderId="0" xfId="6"/>
    <xf numFmtId="0" fontId="7" fillId="0" borderId="0" xfId="7">
      <alignment vertical="top"/>
    </xf>
    <xf numFmtId="0" fontId="0" fillId="0" borderId="5" xfId="0" applyBorder="1"/>
    <xf numFmtId="0" fontId="0" fillId="0" borderId="6" xfId="0" applyBorder="1"/>
    <xf numFmtId="0" fontId="0" fillId="0" borderId="5" xfId="0" applyBorder="1" applyAlignment="1">
      <alignment horizontal="center"/>
    </xf>
    <xf numFmtId="0" fontId="0" fillId="2" borderId="0" xfId="0" applyFill="1"/>
    <xf numFmtId="0" fontId="16" fillId="3" borderId="4" xfId="0" applyFont="1" applyFill="1" applyBorder="1" applyAlignment="1">
      <alignment horizontal="center" vertical="center" shrinkToFit="1"/>
    </xf>
    <xf numFmtId="0" fontId="4" fillId="0" borderId="0" xfId="0" applyFont="1" applyAlignment="1">
      <alignment horizontal="center" vertical="center"/>
    </xf>
    <xf numFmtId="0" fontId="15" fillId="4"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8"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2" borderId="11" xfId="0" applyFill="1" applyBorder="1" applyAlignment="1">
      <alignment horizontal="center" vertical="center"/>
    </xf>
    <xf numFmtId="0" fontId="0" fillId="0" borderId="9" xfId="0" applyBorder="1" applyAlignment="1">
      <alignment horizontal="center" vertical="center"/>
    </xf>
    <xf numFmtId="0" fontId="7" fillId="0" borderId="0" xfId="7" applyAlignment="1"/>
    <xf numFmtId="0" fontId="0" fillId="2" borderId="0" xfId="0" applyFill="1" applyAlignment="1">
      <alignment horizontal="center"/>
    </xf>
    <xf numFmtId="0" fontId="19" fillId="0" borderId="0" xfId="0" applyFont="1"/>
    <xf numFmtId="0" fontId="0" fillId="0" borderId="12" xfId="0"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Alignment="1">
      <alignment horizontal="center" vertical="center"/>
    </xf>
    <xf numFmtId="0" fontId="2" fillId="3" borderId="3" xfId="0" applyFont="1" applyFill="1" applyBorder="1" applyAlignment="1">
      <alignment horizontal="center" vertical="center"/>
    </xf>
    <xf numFmtId="0" fontId="4" fillId="2" borderId="13" xfId="0" applyFont="1" applyFill="1" applyBorder="1" applyAlignment="1">
      <alignment horizontal="center" vertical="center"/>
    </xf>
    <xf numFmtId="0" fontId="4" fillId="0" borderId="0" xfId="0" applyFont="1" applyAlignment="1">
      <alignment vertical="top"/>
    </xf>
    <xf numFmtId="167" fontId="16" fillId="3" borderId="2" xfId="0" applyNumberFormat="1" applyFont="1" applyFill="1" applyBorder="1" applyAlignment="1">
      <alignment horizontal="center" vertical="center"/>
    </xf>
    <xf numFmtId="167" fontId="16" fillId="3" borderId="0" xfId="0" applyNumberFormat="1" applyFont="1" applyFill="1" applyAlignment="1">
      <alignment horizontal="center" vertical="center"/>
    </xf>
    <xf numFmtId="167" fontId="16" fillId="3" borderId="3" xfId="0" applyNumberFormat="1" applyFont="1" applyFill="1" applyBorder="1" applyAlignment="1">
      <alignment horizontal="center" vertical="center"/>
    </xf>
    <xf numFmtId="0" fontId="0" fillId="0" borderId="0" xfId="0" applyAlignment="1">
      <alignment horizontal="left" vertical="center" wrapText="1" indent="2"/>
    </xf>
    <xf numFmtId="0" fontId="5" fillId="0" borderId="0" xfId="0" applyFont="1" applyAlignment="1">
      <alignment horizontal="left" vertical="center" wrapText="1" indent="1"/>
    </xf>
    <xf numFmtId="14" fontId="5" fillId="0" borderId="0" xfId="9" applyFont="1">
      <alignment horizontal="center" vertical="center"/>
    </xf>
    <xf numFmtId="0" fontId="18" fillId="8" borderId="0" xfId="0" applyFont="1" applyFill="1" applyAlignment="1">
      <alignment horizontal="center" vertical="center"/>
    </xf>
    <xf numFmtId="0" fontId="17" fillId="5" borderId="0" xfId="0" applyFont="1" applyFill="1" applyAlignment="1">
      <alignment horizontal="center" vertical="center"/>
    </xf>
    <xf numFmtId="0" fontId="0" fillId="0" borderId="0" xfId="8" applyFont="1">
      <alignment horizontal="right" vertical="center" indent="1"/>
    </xf>
    <xf numFmtId="0" fontId="6" fillId="0" borderId="0" xfId="8">
      <alignment horizontal="right" vertical="center" indent="1"/>
    </xf>
    <xf numFmtId="0" fontId="0" fillId="0" borderId="0" xfId="0"/>
    <xf numFmtId="14" fontId="6" fillId="0" borderId="7" xfId="9" applyBorder="1">
      <alignment horizontal="center" vertical="center"/>
    </xf>
    <xf numFmtId="14" fontId="6" fillId="0" borderId="8" xfId="9" applyBorder="1">
      <alignment horizontal="center" vertical="center"/>
    </xf>
    <xf numFmtId="0" fontId="18" fillId="6" borderId="0" xfId="0" applyFont="1" applyFill="1" applyAlignment="1">
      <alignment horizontal="center" vertical="center"/>
    </xf>
    <xf numFmtId="0" fontId="17" fillId="7" borderId="0" xfId="0" applyFont="1" applyFill="1" applyAlignment="1">
      <alignment horizontal="center" vertical="center"/>
    </xf>
    <xf numFmtId="0" fontId="18" fillId="9" borderId="0" xfId="0" applyFont="1" applyFill="1" applyAlignment="1">
      <alignment horizontal="center" vertical="center"/>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28575</xdr:colOff>
          <xdr:row>5</xdr:row>
          <xdr:rowOff>57150</xdr:rowOff>
        </xdr:from>
        <xdr:to>
          <xdr:col>63</xdr:col>
          <xdr:colOff>361950</xdr:colOff>
          <xdr:row>5</xdr:row>
          <xdr:rowOff>238125</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36" totalsRowShown="0">
  <autoFilter ref="B7:G36"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2"/>
    <tableColumn id="2" xr3:uid="{00000000-0010-0000-0000-000002000000}" name="Categoría" dataDxfId="1"/>
    <tableColumn id="3" xr3:uid="{00000000-0010-0000-0000-000003000000}" name="Asignado a" dataDxfId="0"/>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9"/>
  <sheetViews>
    <sheetView showGridLines="0" tabSelected="1" showRuler="0" topLeftCell="A6" zoomScale="55" zoomScaleNormal="55" zoomScalePageLayoutView="70" workbookViewId="0">
      <selection activeCell="O23" sqref="O23"/>
    </sheetView>
  </sheetViews>
  <sheetFormatPr baseColWidth="10" defaultColWidth="9.140625" defaultRowHeight="30" customHeight="1" x14ac:dyDescent="0.25"/>
  <cols>
    <col min="1" max="1" width="2.7109375" style="14" customWidth="1"/>
    <col min="2" max="2" width="26.28515625" customWidth="1"/>
    <col min="3" max="3" width="17.5703125" customWidth="1"/>
    <col min="4" max="4" width="20.5703125" customWidth="1"/>
    <col min="5" max="5" width="10.7109375" customWidth="1"/>
    <col min="6" max="6" width="16.5703125" style="3" bestFit="1" customWidth="1"/>
    <col min="7" max="7" width="10.42578125" customWidth="1"/>
    <col min="8" max="8" width="2.7109375" customWidth="1"/>
    <col min="9" max="64" width="5.5703125" customWidth="1"/>
    <col min="69" max="70" width="10.28515625"/>
  </cols>
  <sheetData>
    <row r="1" spans="1:64" ht="30" customHeight="1" x14ac:dyDescent="0.45">
      <c r="A1" s="15" t="s">
        <v>0</v>
      </c>
      <c r="B1" s="17" t="s">
        <v>53</v>
      </c>
      <c r="C1" s="17"/>
      <c r="D1" s="1"/>
      <c r="F1"/>
      <c r="G1" s="7"/>
      <c r="I1" s="36" t="s">
        <v>25</v>
      </c>
      <c r="J1" s="8"/>
    </row>
    <row r="2" spans="1:64" ht="30" customHeight="1" x14ac:dyDescent="0.3">
      <c r="A2" s="15" t="s">
        <v>1</v>
      </c>
      <c r="B2" s="18" t="s">
        <v>54</v>
      </c>
      <c r="C2" s="18"/>
      <c r="F2" s="22"/>
      <c r="G2" s="20"/>
      <c r="I2" s="58" t="s">
        <v>18</v>
      </c>
      <c r="J2" s="58"/>
      <c r="K2" s="58"/>
      <c r="L2" s="58"/>
      <c r="N2" s="59" t="s">
        <v>15</v>
      </c>
      <c r="O2" s="59"/>
      <c r="P2" s="59"/>
      <c r="Q2" s="59"/>
      <c r="S2" s="60" t="s">
        <v>16</v>
      </c>
      <c r="T2" s="60"/>
      <c r="U2" s="60"/>
      <c r="V2" s="60"/>
      <c r="X2" s="51" t="s">
        <v>17</v>
      </c>
      <c r="Y2" s="51"/>
      <c r="Z2" s="51"/>
      <c r="AA2" s="51"/>
      <c r="AC2" s="52" t="s">
        <v>26</v>
      </c>
      <c r="AD2" s="52"/>
      <c r="AE2" s="52"/>
      <c r="AF2" s="52"/>
    </row>
    <row r="3" spans="1:64" ht="30" customHeight="1" x14ac:dyDescent="0.25">
      <c r="A3" s="15" t="s">
        <v>2</v>
      </c>
      <c r="B3" s="19" t="s">
        <v>55</v>
      </c>
      <c r="C3" s="19"/>
      <c r="D3" s="53" t="s">
        <v>19</v>
      </c>
      <c r="E3" s="54"/>
      <c r="F3" s="56">
        <v>45013</v>
      </c>
      <c r="G3" s="57"/>
      <c r="H3" s="21"/>
    </row>
    <row r="4" spans="1:64" ht="30" customHeight="1" x14ac:dyDescent="0.35">
      <c r="A4" s="15" t="s">
        <v>3</v>
      </c>
      <c r="D4" s="53" t="s">
        <v>20</v>
      </c>
      <c r="E4" s="54"/>
      <c r="F4" s="39">
        <v>0</v>
      </c>
      <c r="I4" s="38" t="str">
        <f ca="1">TEXT(I5,"mmmm")</f>
        <v>Marzo</v>
      </c>
      <c r="J4" s="38"/>
      <c r="K4" s="38"/>
      <c r="L4" s="38"/>
      <c r="M4" s="38"/>
      <c r="N4" s="38"/>
      <c r="O4" s="38"/>
      <c r="P4" s="38" t="str">
        <f ca="1">IF(TEXT(P5,"mmmm")=I4,"",TEXT(P5,"mmmm"))</f>
        <v>Abril</v>
      </c>
      <c r="Q4" s="38"/>
      <c r="R4" s="38"/>
      <c r="S4" s="38"/>
      <c r="T4" s="38"/>
      <c r="U4" s="38"/>
      <c r="V4" s="38"/>
      <c r="W4" s="38" t="str">
        <f ca="1">IF(OR(TEXT(W5,"mmmm")=P4,TEXT(W5,"mmmm")=I4),"",TEXT(W5,"mmmm"))</f>
        <v/>
      </c>
      <c r="X4" s="38"/>
      <c r="Y4" s="38"/>
      <c r="Z4" s="38"/>
      <c r="AA4" s="38"/>
      <c r="AB4" s="38"/>
      <c r="AC4" s="38"/>
      <c r="AD4" s="38" t="str">
        <f ca="1">IF(OR(TEXT(AD5,"mmmm")=W4,TEXT(AD5,"mmmm")=P4,TEXT(AD5,"mmmm")=I4),"",TEXT(AD5,"mmmm"))</f>
        <v/>
      </c>
      <c r="AE4" s="38"/>
      <c r="AF4" s="38"/>
      <c r="AG4" s="38"/>
      <c r="AH4" s="38"/>
      <c r="AI4" s="38"/>
      <c r="AJ4" s="38"/>
      <c r="AK4" s="38" t="str">
        <f ca="1">IF(OR(TEXT(AK5,"mmmm")=AD4,TEXT(AK5,"mmmm")=W4,TEXT(AK5,"mmmm")=P4,TEXT(AK5,"mmmm")=I4),"",TEXT(AK5,"mmmm"))</f>
        <v/>
      </c>
      <c r="AL4" s="38"/>
      <c r="AM4" s="38"/>
      <c r="AN4" s="38"/>
      <c r="AO4" s="38"/>
      <c r="AP4" s="38"/>
      <c r="AQ4" s="38"/>
      <c r="AR4" s="38" t="str">
        <f ca="1">IF(OR(TEXT(AR5,"mmmm")=AK4,TEXT(AR5,"mmmm")=AD4,TEXT(AR5,"mmmm")=W4,TEXT(AR5,"mmmm")=P4),"",TEXT(AR5,"mmmm"))</f>
        <v>Mayo</v>
      </c>
      <c r="AS4" s="38"/>
      <c r="AT4" s="38"/>
      <c r="AU4" s="38"/>
      <c r="AV4" s="38"/>
      <c r="AW4" s="38"/>
      <c r="AX4" s="38"/>
      <c r="AY4" s="38" t="str">
        <f ca="1">IF(OR(TEXT(AY5,"mmmm")=AR4,TEXT(AY5,"mmmm")=AK4,TEXT(AY5,"mmmm")=AD4,TEXT(AY5,"mmmm")=W4),"",TEXT(AY5,"mmmm"))</f>
        <v/>
      </c>
      <c r="AZ4" s="38"/>
      <c r="BA4" s="38"/>
      <c r="BB4" s="38"/>
      <c r="BC4" s="38"/>
      <c r="BD4" s="38"/>
      <c r="BE4" s="38"/>
      <c r="BF4" s="38" t="str">
        <f ca="1">IF(OR(TEXT(BF5,"mmmm")=AY4,TEXT(BF5,"mmmm")=AR4,TEXT(BF5,"mmmm")=AK4,TEXT(BF5,"mmmm")=AD4),"",TEXT(BF5,"mmmm"))</f>
        <v/>
      </c>
      <c r="BG4" s="38"/>
      <c r="BH4" s="38"/>
      <c r="BI4" s="38"/>
      <c r="BJ4" s="38"/>
      <c r="BK4" s="38"/>
      <c r="BL4" s="38"/>
    </row>
    <row r="5" spans="1:64" ht="15" customHeight="1" x14ac:dyDescent="0.25">
      <c r="A5" s="15" t="s">
        <v>4</v>
      </c>
      <c r="B5" s="55"/>
      <c r="C5" s="55"/>
      <c r="D5" s="55"/>
      <c r="E5" s="55"/>
      <c r="F5" s="55"/>
      <c r="G5" s="55"/>
      <c r="H5" s="55"/>
      <c r="I5" s="45">
        <f ca="1">IFERROR(Inicio_del_proyecto+Incremento_de_desplazamiento,TODAY())</f>
        <v>45013</v>
      </c>
      <c r="J5" s="46">
        <f ca="1">I5+1</f>
        <v>45014</v>
      </c>
      <c r="K5" s="46">
        <f t="shared" ref="K5:AX5" ca="1" si="0">J5+1</f>
        <v>45015</v>
      </c>
      <c r="L5" s="46">
        <f t="shared" ca="1" si="0"/>
        <v>45016</v>
      </c>
      <c r="M5" s="46">
        <f t="shared" ca="1" si="0"/>
        <v>45017</v>
      </c>
      <c r="N5" s="46">
        <f t="shared" ca="1" si="0"/>
        <v>45018</v>
      </c>
      <c r="O5" s="47">
        <f t="shared" ca="1" si="0"/>
        <v>45019</v>
      </c>
      <c r="P5" s="45">
        <f ca="1">O5+1</f>
        <v>45020</v>
      </c>
      <c r="Q5" s="46">
        <f ca="1">P5+1</f>
        <v>45021</v>
      </c>
      <c r="R5" s="46">
        <f t="shared" ca="1" si="0"/>
        <v>45022</v>
      </c>
      <c r="S5" s="46">
        <f t="shared" ca="1" si="0"/>
        <v>45023</v>
      </c>
      <c r="T5" s="46">
        <f t="shared" ca="1" si="0"/>
        <v>45024</v>
      </c>
      <c r="U5" s="46">
        <f t="shared" ca="1" si="0"/>
        <v>45025</v>
      </c>
      <c r="V5" s="47">
        <f t="shared" ca="1" si="0"/>
        <v>45026</v>
      </c>
      <c r="W5" s="45">
        <f ca="1">V5+1</f>
        <v>45027</v>
      </c>
      <c r="X5" s="46">
        <f ca="1">W5+1</f>
        <v>45028</v>
      </c>
      <c r="Y5" s="46">
        <f t="shared" ca="1" si="0"/>
        <v>45029</v>
      </c>
      <c r="Z5" s="46">
        <f t="shared" ca="1" si="0"/>
        <v>45030</v>
      </c>
      <c r="AA5" s="46">
        <f t="shared" ca="1" si="0"/>
        <v>45031</v>
      </c>
      <c r="AB5" s="46">
        <f t="shared" ca="1" si="0"/>
        <v>45032</v>
      </c>
      <c r="AC5" s="47">
        <f t="shared" ca="1" si="0"/>
        <v>45033</v>
      </c>
      <c r="AD5" s="45">
        <f ca="1">AC5+1</f>
        <v>45034</v>
      </c>
      <c r="AE5" s="46">
        <f ca="1">AD5+1</f>
        <v>45035</v>
      </c>
      <c r="AF5" s="46">
        <f t="shared" ca="1" si="0"/>
        <v>45036</v>
      </c>
      <c r="AG5" s="46">
        <f t="shared" ca="1" si="0"/>
        <v>45037</v>
      </c>
      <c r="AH5" s="46">
        <f t="shared" ca="1" si="0"/>
        <v>45038</v>
      </c>
      <c r="AI5" s="46">
        <f t="shared" ca="1" si="0"/>
        <v>45039</v>
      </c>
      <c r="AJ5" s="47">
        <f t="shared" ca="1" si="0"/>
        <v>45040</v>
      </c>
      <c r="AK5" s="45">
        <f ca="1">AJ5+1</f>
        <v>45041</v>
      </c>
      <c r="AL5" s="46">
        <f ca="1">AK5+1</f>
        <v>45042</v>
      </c>
      <c r="AM5" s="46">
        <f t="shared" ca="1" si="0"/>
        <v>45043</v>
      </c>
      <c r="AN5" s="46">
        <f t="shared" ca="1" si="0"/>
        <v>45044</v>
      </c>
      <c r="AO5" s="46">
        <f t="shared" ca="1" si="0"/>
        <v>45045</v>
      </c>
      <c r="AP5" s="46">
        <f t="shared" ca="1" si="0"/>
        <v>45046</v>
      </c>
      <c r="AQ5" s="47">
        <f t="shared" ca="1" si="0"/>
        <v>45047</v>
      </c>
      <c r="AR5" s="45">
        <f ca="1">AQ5+1</f>
        <v>45048</v>
      </c>
      <c r="AS5" s="46">
        <f ca="1">AR5+1</f>
        <v>45049</v>
      </c>
      <c r="AT5" s="46">
        <f t="shared" ca="1" si="0"/>
        <v>45050</v>
      </c>
      <c r="AU5" s="46">
        <f t="shared" ca="1" si="0"/>
        <v>45051</v>
      </c>
      <c r="AV5" s="46">
        <f t="shared" ca="1" si="0"/>
        <v>45052</v>
      </c>
      <c r="AW5" s="46">
        <f t="shared" ca="1" si="0"/>
        <v>45053</v>
      </c>
      <c r="AX5" s="47">
        <f t="shared" ca="1" si="0"/>
        <v>45054</v>
      </c>
      <c r="AY5" s="45">
        <f ca="1">AX5+1</f>
        <v>45055</v>
      </c>
      <c r="AZ5" s="46">
        <f ca="1">AY5+1</f>
        <v>45056</v>
      </c>
      <c r="BA5" s="46">
        <f t="shared" ref="BA5:BE5" ca="1" si="1">AZ5+1</f>
        <v>45057</v>
      </c>
      <c r="BB5" s="46">
        <f t="shared" ca="1" si="1"/>
        <v>45058</v>
      </c>
      <c r="BC5" s="46">
        <f t="shared" ca="1" si="1"/>
        <v>45059</v>
      </c>
      <c r="BD5" s="46">
        <f t="shared" ca="1" si="1"/>
        <v>45060</v>
      </c>
      <c r="BE5" s="47">
        <f t="shared" ca="1" si="1"/>
        <v>45061</v>
      </c>
      <c r="BF5" s="45">
        <f ca="1">BE5+1</f>
        <v>45062</v>
      </c>
      <c r="BG5" s="46">
        <f ca="1">BF5+1</f>
        <v>45063</v>
      </c>
      <c r="BH5" s="46">
        <f t="shared" ref="BH5:BL5" ca="1" si="2">BG5+1</f>
        <v>45064</v>
      </c>
      <c r="BI5" s="46">
        <f t="shared" ca="1" si="2"/>
        <v>45065</v>
      </c>
      <c r="BJ5" s="46">
        <f t="shared" ca="1" si="2"/>
        <v>45066</v>
      </c>
      <c r="BK5" s="46">
        <f t="shared" ca="1" si="2"/>
        <v>45067</v>
      </c>
      <c r="BL5" s="47">
        <f t="shared" ca="1" si="2"/>
        <v>45068</v>
      </c>
    </row>
    <row r="6" spans="1:64" ht="25.15" customHeight="1" x14ac:dyDescent="0.25">
      <c r="A6" s="15" t="s">
        <v>5</v>
      </c>
      <c r="F6"/>
      <c r="I6" s="40"/>
      <c r="J6" s="41"/>
      <c r="K6" s="41"/>
      <c r="L6" s="41"/>
      <c r="M6" s="41"/>
      <c r="N6" s="41"/>
      <c r="O6" s="42"/>
      <c r="P6" s="40"/>
      <c r="Q6" s="41"/>
      <c r="R6" s="41"/>
      <c r="S6" s="41"/>
      <c r="T6" s="41"/>
      <c r="U6" s="41"/>
      <c r="V6" s="42"/>
      <c r="W6" s="40"/>
      <c r="X6" s="41"/>
      <c r="Y6" s="41"/>
      <c r="Z6" s="41"/>
      <c r="AA6" s="41"/>
      <c r="AB6" s="41"/>
      <c r="AC6" s="42"/>
      <c r="AD6" s="40"/>
      <c r="AE6" s="41"/>
      <c r="AF6" s="41"/>
      <c r="AG6" s="41"/>
      <c r="AH6" s="41"/>
      <c r="AI6" s="41"/>
      <c r="AJ6" s="42"/>
      <c r="AK6" s="40"/>
      <c r="AL6" s="41"/>
      <c r="AM6" s="41"/>
      <c r="AN6" s="41"/>
      <c r="AO6" s="41"/>
      <c r="AP6" s="41"/>
      <c r="AQ6" s="42"/>
      <c r="AR6" s="40"/>
      <c r="AS6" s="41"/>
      <c r="AT6" s="41"/>
      <c r="AU6" s="41"/>
      <c r="AV6" s="41"/>
      <c r="AW6" s="41"/>
      <c r="AX6" s="42"/>
      <c r="AY6" s="40"/>
      <c r="AZ6" s="41"/>
      <c r="BA6" s="41"/>
      <c r="BB6" s="41"/>
      <c r="BC6" s="41"/>
      <c r="BD6" s="41"/>
      <c r="BE6" s="42"/>
      <c r="BF6" s="40"/>
      <c r="BG6" s="41"/>
      <c r="BH6" s="41"/>
      <c r="BI6" s="41"/>
      <c r="BJ6" s="41"/>
      <c r="BK6" s="41"/>
      <c r="BL6" s="42"/>
    </row>
    <row r="7" spans="1:64" ht="30.95" customHeight="1" thickBot="1" x14ac:dyDescent="0.3">
      <c r="A7" s="15" t="s">
        <v>6</v>
      </c>
      <c r="B7" s="27" t="s">
        <v>11</v>
      </c>
      <c r="C7" s="28" t="s">
        <v>13</v>
      </c>
      <c r="D7" s="28" t="s">
        <v>21</v>
      </c>
      <c r="E7" s="28" t="s">
        <v>22</v>
      </c>
      <c r="F7" s="28" t="s">
        <v>23</v>
      </c>
      <c r="G7" s="28" t="s">
        <v>24</v>
      </c>
      <c r="H7" s="26"/>
      <c r="I7" s="24" t="str">
        <f t="shared" ref="I7" ca="1" si="3">LEFT(TEXT(I5,"ddd"),1)</f>
        <v>m</v>
      </c>
      <c r="J7" s="24" t="str">
        <f t="shared" ref="J7:AR7" ca="1" si="4">LEFT(TEXT(J5,"ddd"),1)</f>
        <v>m</v>
      </c>
      <c r="K7" s="24" t="str">
        <f t="shared" ca="1" si="4"/>
        <v>j</v>
      </c>
      <c r="L7" s="24" t="str">
        <f t="shared" ca="1" si="4"/>
        <v>v</v>
      </c>
      <c r="M7" s="24" t="str">
        <f t="shared" ca="1" si="4"/>
        <v>s</v>
      </c>
      <c r="N7" s="24" t="str">
        <f t="shared" ca="1" si="4"/>
        <v>d</v>
      </c>
      <c r="O7" s="24" t="str">
        <f t="shared" ca="1" si="4"/>
        <v>l</v>
      </c>
      <c r="P7" s="24" t="str">
        <f t="shared" ca="1" si="4"/>
        <v>m</v>
      </c>
      <c r="Q7" s="24" t="str">
        <f t="shared" ca="1" si="4"/>
        <v>m</v>
      </c>
      <c r="R7" s="24" t="str">
        <f t="shared" ca="1" si="4"/>
        <v>j</v>
      </c>
      <c r="S7" s="24" t="str">
        <f t="shared" ca="1" si="4"/>
        <v>v</v>
      </c>
      <c r="T7" s="24" t="str">
        <f t="shared" ca="1" si="4"/>
        <v>s</v>
      </c>
      <c r="U7" s="24" t="str">
        <f t="shared" ca="1" si="4"/>
        <v>d</v>
      </c>
      <c r="V7" s="24" t="str">
        <f t="shared" ca="1" si="4"/>
        <v>l</v>
      </c>
      <c r="W7" s="24" t="str">
        <f t="shared" ca="1" si="4"/>
        <v>m</v>
      </c>
      <c r="X7" s="24" t="str">
        <f t="shared" ca="1" si="4"/>
        <v>m</v>
      </c>
      <c r="Y7" s="24" t="str">
        <f t="shared" ca="1" si="4"/>
        <v>j</v>
      </c>
      <c r="Z7" s="24" t="str">
        <f t="shared" ca="1" si="4"/>
        <v>v</v>
      </c>
      <c r="AA7" s="24" t="str">
        <f t="shared" ca="1" si="4"/>
        <v>s</v>
      </c>
      <c r="AB7" s="24" t="str">
        <f t="shared" ca="1" si="4"/>
        <v>d</v>
      </c>
      <c r="AC7" s="24" t="str">
        <f t="shared" ca="1" si="4"/>
        <v>l</v>
      </c>
      <c r="AD7" s="24" t="str">
        <f t="shared" ca="1" si="4"/>
        <v>m</v>
      </c>
      <c r="AE7" s="24" t="str">
        <f t="shared" ca="1" si="4"/>
        <v>m</v>
      </c>
      <c r="AF7" s="24" t="str">
        <f t="shared" ca="1" si="4"/>
        <v>j</v>
      </c>
      <c r="AG7" s="24" t="str">
        <f t="shared" ca="1" si="4"/>
        <v>v</v>
      </c>
      <c r="AH7" s="24" t="str">
        <f t="shared" ca="1" si="4"/>
        <v>s</v>
      </c>
      <c r="AI7" s="24" t="str">
        <f t="shared" ca="1" si="4"/>
        <v>d</v>
      </c>
      <c r="AJ7" s="24" t="str">
        <f t="shared" ca="1" si="4"/>
        <v>l</v>
      </c>
      <c r="AK7" s="24" t="str">
        <f t="shared" ca="1" si="4"/>
        <v>m</v>
      </c>
      <c r="AL7" s="24" t="str">
        <f t="shared" ca="1" si="4"/>
        <v>m</v>
      </c>
      <c r="AM7" s="24" t="str">
        <f t="shared" ca="1" si="4"/>
        <v>j</v>
      </c>
      <c r="AN7" s="24" t="str">
        <f t="shared" ca="1" si="4"/>
        <v>v</v>
      </c>
      <c r="AO7" s="24" t="str">
        <f t="shared" ca="1" si="4"/>
        <v>s</v>
      </c>
      <c r="AP7" s="24" t="str">
        <f t="shared" ca="1" si="4"/>
        <v>d</v>
      </c>
      <c r="AQ7" s="24" t="str">
        <f t="shared" ca="1" si="4"/>
        <v>l</v>
      </c>
      <c r="AR7" s="24" t="str">
        <f t="shared" ca="1" si="4"/>
        <v>m</v>
      </c>
      <c r="AS7" s="24" t="str">
        <f t="shared" ref="AS7:BL7" ca="1" si="5">LEFT(TEXT(AS5,"ddd"),1)</f>
        <v>m</v>
      </c>
      <c r="AT7" s="24" t="str">
        <f t="shared" ca="1" si="5"/>
        <v>j</v>
      </c>
      <c r="AU7" s="24" t="str">
        <f t="shared" ca="1" si="5"/>
        <v>v</v>
      </c>
      <c r="AV7" s="24" t="str">
        <f t="shared" ca="1" si="5"/>
        <v>s</v>
      </c>
      <c r="AW7" s="24" t="str">
        <f t="shared" ca="1" si="5"/>
        <v>d</v>
      </c>
      <c r="AX7" s="24" t="str">
        <f t="shared" ca="1" si="5"/>
        <v>l</v>
      </c>
      <c r="AY7" s="24" t="str">
        <f t="shared" ca="1" si="5"/>
        <v>m</v>
      </c>
      <c r="AZ7" s="24" t="str">
        <f t="shared" ca="1" si="5"/>
        <v>m</v>
      </c>
      <c r="BA7" s="24" t="str">
        <f t="shared" ca="1" si="5"/>
        <v>j</v>
      </c>
      <c r="BB7" s="24" t="str">
        <f t="shared" ca="1" si="5"/>
        <v>v</v>
      </c>
      <c r="BC7" s="24" t="str">
        <f t="shared" ca="1" si="5"/>
        <v>s</v>
      </c>
      <c r="BD7" s="24" t="str">
        <f t="shared" ca="1" si="5"/>
        <v>d</v>
      </c>
      <c r="BE7" s="24" t="str">
        <f t="shared" ca="1" si="5"/>
        <v>l</v>
      </c>
      <c r="BF7" s="24" t="str">
        <f t="shared" ca="1" si="5"/>
        <v>m</v>
      </c>
      <c r="BG7" s="24" t="str">
        <f t="shared" ca="1" si="5"/>
        <v>m</v>
      </c>
      <c r="BH7" s="24" t="str">
        <f t="shared" ca="1" si="5"/>
        <v>j</v>
      </c>
      <c r="BI7" s="24" t="str">
        <f t="shared" ca="1" si="5"/>
        <v>v</v>
      </c>
      <c r="BJ7" s="24" t="str">
        <f t="shared" ca="1" si="5"/>
        <v>s</v>
      </c>
      <c r="BK7" s="24" t="str">
        <f t="shared" ca="1" si="5"/>
        <v>d</v>
      </c>
      <c r="BL7" s="24" t="str">
        <f t="shared" ca="1" si="5"/>
        <v>l</v>
      </c>
    </row>
    <row r="8" spans="1:64" ht="30" hidden="1" customHeight="1" x14ac:dyDescent="0.25">
      <c r="A8" s="14" t="s">
        <v>7</v>
      </c>
      <c r="B8" s="48"/>
      <c r="C8" s="32"/>
      <c r="D8" s="32"/>
      <c r="E8" s="32"/>
      <c r="F8" s="32"/>
      <c r="G8" s="32"/>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64" s="2" customFormat="1" ht="30" customHeight="1" x14ac:dyDescent="0.25">
      <c r="A9" s="15" t="s">
        <v>8</v>
      </c>
      <c r="B9" s="49" t="s">
        <v>35</v>
      </c>
      <c r="C9" s="32"/>
      <c r="D9" s="32"/>
      <c r="E9"/>
      <c r="F9"/>
      <c r="G9"/>
      <c r="H9" s="25"/>
      <c r="I9" s="35" t="str">
        <f t="shared" ref="I9:X23" ca="1" si="6">IF(AND($C9="Objetivo",I$5&gt;=$F9,I$5&lt;=$F9+$G9-1),2,IF(AND($C9="Hito",I$5&gt;=$F9,I$5&lt;=$F9+$G9-1),1,""))</f>
        <v/>
      </c>
      <c r="J9" s="35" t="str">
        <f t="shared" ca="1" si="6"/>
        <v/>
      </c>
      <c r="K9" s="35" t="str">
        <f t="shared" ca="1" si="6"/>
        <v/>
      </c>
      <c r="L9" s="35" t="str">
        <f t="shared" ca="1" si="6"/>
        <v/>
      </c>
      <c r="M9" s="35" t="str">
        <f t="shared" ca="1" si="6"/>
        <v/>
      </c>
      <c r="N9" s="35" t="str">
        <f t="shared" ca="1" si="6"/>
        <v/>
      </c>
      <c r="O9" s="35" t="str">
        <f t="shared" ca="1" si="6"/>
        <v/>
      </c>
      <c r="P9" s="35" t="str">
        <f t="shared" ca="1" si="6"/>
        <v/>
      </c>
      <c r="Q9" s="35" t="str">
        <f t="shared" ca="1" si="6"/>
        <v/>
      </c>
      <c r="R9" s="35" t="str">
        <f t="shared" ca="1" si="6"/>
        <v/>
      </c>
      <c r="S9" s="35" t="str">
        <f t="shared" ca="1" si="6"/>
        <v/>
      </c>
      <c r="T9" s="35" t="str">
        <f t="shared" ca="1" si="6"/>
        <v/>
      </c>
      <c r="U9" s="35" t="str">
        <f t="shared" ca="1" si="6"/>
        <v/>
      </c>
      <c r="V9" s="35" t="str">
        <f t="shared" ca="1" si="6"/>
        <v/>
      </c>
      <c r="W9" s="35" t="str">
        <f t="shared" ca="1" si="6"/>
        <v/>
      </c>
      <c r="X9" s="35" t="str">
        <f t="shared" ca="1" si="6"/>
        <v/>
      </c>
      <c r="Y9" s="35" t="str">
        <f t="shared" ref="Y9:AN23" ca="1" si="7">IF(AND($C9="Objetivo",Y$5&gt;=$F9,Y$5&lt;=$F9+$G9-1),2,IF(AND($C9="Hito",Y$5&gt;=$F9,Y$5&lt;=$F9+$G9-1),1,""))</f>
        <v/>
      </c>
      <c r="Z9" s="35" t="str">
        <f t="shared" ca="1" si="7"/>
        <v/>
      </c>
      <c r="AA9" s="35" t="str">
        <f t="shared" ca="1" si="7"/>
        <v/>
      </c>
      <c r="AB9" s="35" t="str">
        <f t="shared" ca="1" si="7"/>
        <v/>
      </c>
      <c r="AC9" s="35" t="str">
        <f t="shared" ca="1" si="7"/>
        <v/>
      </c>
      <c r="AD9" s="35" t="str">
        <f t="shared" ca="1" si="7"/>
        <v/>
      </c>
      <c r="AE9" s="35" t="str">
        <f t="shared" ca="1" si="7"/>
        <v/>
      </c>
      <c r="AF9" s="35" t="str">
        <f t="shared" ca="1" si="7"/>
        <v/>
      </c>
      <c r="AG9" s="35" t="str">
        <f t="shared" ca="1" si="7"/>
        <v/>
      </c>
      <c r="AH9" s="35" t="str">
        <f t="shared" ca="1" si="7"/>
        <v/>
      </c>
      <c r="AI9" s="35" t="str">
        <f t="shared" ca="1" si="7"/>
        <v/>
      </c>
      <c r="AJ9" s="35" t="str">
        <f t="shared" ca="1" si="7"/>
        <v/>
      </c>
      <c r="AK9" s="35" t="str">
        <f t="shared" ca="1" si="7"/>
        <v/>
      </c>
      <c r="AL9" s="35" t="str">
        <f t="shared" ca="1" si="7"/>
        <v/>
      </c>
      <c r="AM9" s="35" t="str">
        <f t="shared" ca="1" si="7"/>
        <v/>
      </c>
      <c r="AN9" s="35" t="str">
        <f t="shared" ca="1" si="7"/>
        <v/>
      </c>
      <c r="AO9" s="35" t="str">
        <f t="shared" ref="AO9:BD23" ca="1" si="8">IF(AND($C9="Objetivo",AO$5&gt;=$F9,AO$5&lt;=$F9+$G9-1),2,IF(AND($C9="Hito",AO$5&gt;=$F9,AO$5&lt;=$F9+$G9-1),1,""))</f>
        <v/>
      </c>
      <c r="AP9" s="35" t="str">
        <f t="shared" ca="1" si="8"/>
        <v/>
      </c>
      <c r="AQ9" s="35" t="str">
        <f t="shared" ca="1" si="8"/>
        <v/>
      </c>
      <c r="AR9" s="35" t="str">
        <f t="shared" ca="1" si="8"/>
        <v/>
      </c>
      <c r="AS9" s="35" t="str">
        <f t="shared" ca="1" si="8"/>
        <v/>
      </c>
      <c r="AT9" s="35" t="str">
        <f t="shared" ca="1" si="8"/>
        <v/>
      </c>
      <c r="AU9" s="35" t="str">
        <f t="shared" ca="1" si="8"/>
        <v/>
      </c>
      <c r="AV9" s="35" t="str">
        <f t="shared" ca="1" si="8"/>
        <v/>
      </c>
      <c r="AW9" s="35" t="str">
        <f t="shared" ca="1" si="8"/>
        <v/>
      </c>
      <c r="AX9" s="35" t="str">
        <f t="shared" ca="1" si="8"/>
        <v/>
      </c>
      <c r="AY9" s="35" t="str">
        <f t="shared" ca="1" si="8"/>
        <v/>
      </c>
      <c r="AZ9" s="35" t="str">
        <f t="shared" ca="1" si="8"/>
        <v/>
      </c>
      <c r="BA9" s="35" t="str">
        <f t="shared" ca="1" si="8"/>
        <v/>
      </c>
      <c r="BB9" s="35" t="str">
        <f t="shared" ca="1" si="8"/>
        <v/>
      </c>
      <c r="BC9" s="35" t="str">
        <f t="shared" ca="1" si="8"/>
        <v/>
      </c>
      <c r="BD9" s="35" t="str">
        <f t="shared" ca="1" si="8"/>
        <v/>
      </c>
      <c r="BE9" s="35" t="str">
        <f t="shared" ref="BE9:BL23" ca="1" si="9">IF(AND($C9="Objetivo",BE$5&gt;=$F9,BE$5&lt;=$F9+$G9-1),2,IF(AND($C9="Hito",BE$5&gt;=$F9,BE$5&lt;=$F9+$G9-1),1,""))</f>
        <v/>
      </c>
      <c r="BF9" s="35" t="str">
        <f t="shared" ca="1" si="9"/>
        <v/>
      </c>
      <c r="BG9" s="35" t="str">
        <f t="shared" ca="1" si="9"/>
        <v/>
      </c>
      <c r="BH9" s="35" t="str">
        <f t="shared" ca="1" si="9"/>
        <v/>
      </c>
      <c r="BI9" s="35" t="str">
        <f t="shared" ca="1" si="9"/>
        <v/>
      </c>
      <c r="BJ9" s="35" t="str">
        <f t="shared" ca="1" si="9"/>
        <v/>
      </c>
      <c r="BK9" s="35" t="str">
        <f t="shared" ca="1" si="9"/>
        <v/>
      </c>
      <c r="BL9" s="35" t="str">
        <f t="shared" ca="1" si="9"/>
        <v/>
      </c>
    </row>
    <row r="10" spans="1:64" s="2" customFormat="1" ht="30" customHeight="1" x14ac:dyDescent="0.25">
      <c r="A10" s="15"/>
      <c r="B10" s="48" t="s">
        <v>32</v>
      </c>
      <c r="C10" s="32" t="s">
        <v>14</v>
      </c>
      <c r="D10" s="32" t="s">
        <v>63</v>
      </c>
      <c r="E10" s="29">
        <v>1</v>
      </c>
      <c r="F10" s="30">
        <v>45014</v>
      </c>
      <c r="G10" s="31">
        <v>2</v>
      </c>
      <c r="H10" s="25"/>
      <c r="I10" s="35" t="str">
        <f ca="1">IF(AND($C10="Objetivo",I$5&gt;=$F10,I$5&lt;=$F10+$G10-1),2,IF(AND($C10="Hito",I$5&gt;=$F10,I$5&lt;=$F10+$G10-1),1,""))</f>
        <v/>
      </c>
      <c r="J10" s="35">
        <f t="shared" ca="1" si="6"/>
        <v>2</v>
      </c>
      <c r="K10" s="35">
        <f t="shared" ca="1" si="6"/>
        <v>2</v>
      </c>
      <c r="L10" s="35" t="str">
        <f t="shared" ca="1" si="6"/>
        <v/>
      </c>
      <c r="M10" s="35" t="str">
        <f t="shared" ca="1" si="6"/>
        <v/>
      </c>
      <c r="N10" s="35" t="str">
        <f t="shared" ca="1" si="6"/>
        <v/>
      </c>
      <c r="O10" s="35" t="str">
        <f t="shared" ca="1" si="6"/>
        <v/>
      </c>
      <c r="P10" s="35" t="str">
        <f t="shared" ca="1" si="6"/>
        <v/>
      </c>
      <c r="Q10" s="35" t="str">
        <f t="shared" ca="1" si="6"/>
        <v/>
      </c>
      <c r="R10" s="35" t="str">
        <f t="shared" ca="1" si="6"/>
        <v/>
      </c>
      <c r="S10" s="35" t="str">
        <f t="shared" ca="1" si="6"/>
        <v/>
      </c>
      <c r="T10" s="35" t="str">
        <f t="shared" ca="1" si="6"/>
        <v/>
      </c>
      <c r="U10" s="35" t="str">
        <f t="shared" ca="1" si="6"/>
        <v/>
      </c>
      <c r="V10" s="35" t="str">
        <f t="shared" ca="1" si="6"/>
        <v/>
      </c>
      <c r="W10" s="35" t="str">
        <f t="shared" ca="1" si="6"/>
        <v/>
      </c>
      <c r="X10" s="35" t="str">
        <f t="shared" ca="1" si="6"/>
        <v/>
      </c>
      <c r="Y10" s="35" t="str">
        <f t="shared" ca="1" si="7"/>
        <v/>
      </c>
      <c r="Z10" s="35" t="str">
        <f t="shared" ca="1" si="7"/>
        <v/>
      </c>
      <c r="AA10" s="35" t="str">
        <f t="shared" ca="1" si="7"/>
        <v/>
      </c>
      <c r="AB10" s="35" t="str">
        <f t="shared" ca="1" si="7"/>
        <v/>
      </c>
      <c r="AC10" s="35" t="str">
        <f t="shared" ca="1" si="7"/>
        <v/>
      </c>
      <c r="AD10" s="35" t="str">
        <f t="shared" ca="1" si="7"/>
        <v/>
      </c>
      <c r="AE10" s="35" t="str">
        <f t="shared" ca="1" si="7"/>
        <v/>
      </c>
      <c r="AF10" s="35" t="str">
        <f t="shared" ca="1" si="7"/>
        <v/>
      </c>
      <c r="AG10" s="35" t="str">
        <f t="shared" ca="1" si="7"/>
        <v/>
      </c>
      <c r="AH10" s="35" t="str">
        <f t="shared" ca="1" si="7"/>
        <v/>
      </c>
      <c r="AI10" s="35" t="str">
        <f t="shared" ca="1" si="7"/>
        <v/>
      </c>
      <c r="AJ10" s="35" t="str">
        <f t="shared" ca="1" si="7"/>
        <v/>
      </c>
      <c r="AK10" s="35" t="str">
        <f t="shared" ca="1" si="7"/>
        <v/>
      </c>
      <c r="AL10" s="35" t="str">
        <f t="shared" ca="1" si="7"/>
        <v/>
      </c>
      <c r="AM10" s="35" t="str">
        <f t="shared" ca="1" si="7"/>
        <v/>
      </c>
      <c r="AN10" s="35" t="str">
        <f t="shared" ca="1" si="7"/>
        <v/>
      </c>
      <c r="AO10" s="35" t="str">
        <f t="shared" ca="1" si="8"/>
        <v/>
      </c>
      <c r="AP10" s="35" t="str">
        <f t="shared" ca="1" si="8"/>
        <v/>
      </c>
      <c r="AQ10" s="35" t="str">
        <f t="shared" ca="1" si="8"/>
        <v/>
      </c>
      <c r="AR10" s="35" t="str">
        <f t="shared" ca="1" si="8"/>
        <v/>
      </c>
      <c r="AS10" s="35" t="str">
        <f t="shared" ca="1" si="8"/>
        <v/>
      </c>
      <c r="AT10" s="35" t="str">
        <f t="shared" ca="1" si="8"/>
        <v/>
      </c>
      <c r="AU10" s="35" t="str">
        <f t="shared" ca="1" si="8"/>
        <v/>
      </c>
      <c r="AV10" s="35" t="str">
        <f t="shared" ca="1" si="8"/>
        <v/>
      </c>
      <c r="AW10" s="35" t="str">
        <f t="shared" ca="1" si="8"/>
        <v/>
      </c>
      <c r="AX10" s="35" t="str">
        <f t="shared" ca="1" si="8"/>
        <v/>
      </c>
      <c r="AY10" s="35" t="str">
        <f t="shared" ca="1" si="8"/>
        <v/>
      </c>
      <c r="AZ10" s="35" t="str">
        <f t="shared" ca="1" si="8"/>
        <v/>
      </c>
      <c r="BA10" s="35" t="str">
        <f t="shared" ca="1" si="8"/>
        <v/>
      </c>
      <c r="BB10" s="35" t="str">
        <f t="shared" ca="1" si="8"/>
        <v/>
      </c>
      <c r="BC10" s="35" t="str">
        <f t="shared" ca="1" si="8"/>
        <v/>
      </c>
      <c r="BD10" s="35" t="str">
        <f t="shared" ca="1" si="8"/>
        <v/>
      </c>
      <c r="BE10" s="35" t="str">
        <f t="shared" ca="1" si="9"/>
        <v/>
      </c>
      <c r="BF10" s="35" t="str">
        <f t="shared" ca="1" si="9"/>
        <v/>
      </c>
      <c r="BG10" s="35" t="str">
        <f t="shared" ca="1" si="9"/>
        <v/>
      </c>
      <c r="BH10" s="35" t="str">
        <f t="shared" ca="1" si="9"/>
        <v/>
      </c>
      <c r="BI10" s="35" t="str">
        <f t="shared" ca="1" si="9"/>
        <v/>
      </c>
      <c r="BJ10" s="35" t="str">
        <f t="shared" ca="1" si="9"/>
        <v/>
      </c>
      <c r="BK10" s="35" t="str">
        <f t="shared" ca="1" si="9"/>
        <v/>
      </c>
      <c r="BL10" s="35" t="str">
        <f t="shared" ca="1" si="9"/>
        <v/>
      </c>
    </row>
    <row r="11" spans="1:64" s="2" customFormat="1" ht="30" customHeight="1" x14ac:dyDescent="0.25">
      <c r="A11" s="15"/>
      <c r="B11" s="48" t="s">
        <v>58</v>
      </c>
      <c r="C11" s="32" t="s">
        <v>18</v>
      </c>
      <c r="D11" s="32" t="s">
        <v>63</v>
      </c>
      <c r="E11" s="29">
        <v>1</v>
      </c>
      <c r="F11" s="30">
        <f>F10+G10</f>
        <v>45016</v>
      </c>
      <c r="G11" s="31">
        <v>2</v>
      </c>
      <c r="H11" s="25"/>
      <c r="I11" s="35" t="str">
        <f t="shared" ref="I11:I23" ca="1" si="10">IF(AND($C11="Objetivo",I$5&gt;=$F11,I$5&lt;=$F11+$G11-1),2,IF(AND($C11="Hito",I$5&gt;=$F11,I$5&lt;=$F11+$G11-1),1,""))</f>
        <v/>
      </c>
      <c r="J11" s="35" t="str">
        <f t="shared" ca="1" si="6"/>
        <v/>
      </c>
      <c r="K11" s="35" t="str">
        <f t="shared" ca="1" si="6"/>
        <v/>
      </c>
      <c r="L11" s="35" t="str">
        <f t="shared" ca="1" si="6"/>
        <v/>
      </c>
      <c r="M11" s="35" t="str">
        <f t="shared" ca="1" si="6"/>
        <v/>
      </c>
      <c r="N11" s="35" t="str">
        <f t="shared" ca="1" si="6"/>
        <v/>
      </c>
      <c r="O11" s="35" t="str">
        <f t="shared" ca="1" si="6"/>
        <v/>
      </c>
      <c r="P11" s="35" t="str">
        <f t="shared" ca="1" si="6"/>
        <v/>
      </c>
      <c r="Q11" s="35" t="str">
        <f t="shared" ca="1" si="6"/>
        <v/>
      </c>
      <c r="R11" s="35" t="str">
        <f t="shared" ca="1" si="6"/>
        <v/>
      </c>
      <c r="S11" s="35" t="str">
        <f t="shared" ca="1" si="6"/>
        <v/>
      </c>
      <c r="T11" s="35" t="str">
        <f t="shared" ca="1" si="6"/>
        <v/>
      </c>
      <c r="U11" s="35" t="str">
        <f t="shared" ca="1" si="6"/>
        <v/>
      </c>
      <c r="V11" s="35" t="str">
        <f t="shared" ca="1" si="6"/>
        <v/>
      </c>
      <c r="W11" s="35" t="str">
        <f t="shared" ca="1" si="6"/>
        <v/>
      </c>
      <c r="X11" s="35" t="str">
        <f t="shared" ca="1" si="6"/>
        <v/>
      </c>
      <c r="Y11" s="35" t="str">
        <f t="shared" ca="1" si="7"/>
        <v/>
      </c>
      <c r="Z11" s="35" t="str">
        <f t="shared" ca="1" si="7"/>
        <v/>
      </c>
      <c r="AA11" s="35" t="str">
        <f t="shared" ca="1" si="7"/>
        <v/>
      </c>
      <c r="AB11" s="35" t="str">
        <f t="shared" ca="1" si="7"/>
        <v/>
      </c>
      <c r="AC11" s="35" t="str">
        <f t="shared" ca="1" si="7"/>
        <v/>
      </c>
      <c r="AD11" s="35" t="str">
        <f t="shared" ca="1" si="7"/>
        <v/>
      </c>
      <c r="AE11" s="35" t="str">
        <f t="shared" ca="1" si="7"/>
        <v/>
      </c>
      <c r="AF11" s="35" t="str">
        <f t="shared" ca="1" si="7"/>
        <v/>
      </c>
      <c r="AG11" s="35" t="str">
        <f t="shared" ca="1" si="7"/>
        <v/>
      </c>
      <c r="AH11" s="35" t="str">
        <f t="shared" ca="1" si="7"/>
        <v/>
      </c>
      <c r="AI11" s="35" t="str">
        <f t="shared" ca="1" si="7"/>
        <v/>
      </c>
      <c r="AJ11" s="35" t="str">
        <f t="shared" ca="1" si="7"/>
        <v/>
      </c>
      <c r="AK11" s="35" t="str">
        <f t="shared" ca="1" si="7"/>
        <v/>
      </c>
      <c r="AL11" s="35" t="str">
        <f t="shared" ca="1" si="7"/>
        <v/>
      </c>
      <c r="AM11" s="35" t="str">
        <f t="shared" ca="1" si="7"/>
        <v/>
      </c>
      <c r="AN11" s="35" t="str">
        <f t="shared" ca="1" si="7"/>
        <v/>
      </c>
      <c r="AO11" s="35" t="str">
        <f t="shared" ca="1" si="8"/>
        <v/>
      </c>
      <c r="AP11" s="35" t="str">
        <f t="shared" ca="1" si="8"/>
        <v/>
      </c>
      <c r="AQ11" s="35" t="str">
        <f t="shared" ca="1" si="8"/>
        <v/>
      </c>
      <c r="AR11" s="35" t="str">
        <f t="shared" ca="1" si="8"/>
        <v/>
      </c>
      <c r="AS11" s="35" t="str">
        <f t="shared" ca="1" si="8"/>
        <v/>
      </c>
      <c r="AT11" s="35" t="str">
        <f t="shared" ca="1" si="8"/>
        <v/>
      </c>
      <c r="AU11" s="35" t="str">
        <f t="shared" ca="1" si="8"/>
        <v/>
      </c>
      <c r="AV11" s="35" t="str">
        <f t="shared" ca="1" si="8"/>
        <v/>
      </c>
      <c r="AW11" s="35" t="str">
        <f t="shared" ca="1" si="8"/>
        <v/>
      </c>
      <c r="AX11" s="35" t="str">
        <f t="shared" ca="1" si="8"/>
        <v/>
      </c>
      <c r="AY11" s="35" t="str">
        <f t="shared" ca="1" si="8"/>
        <v/>
      </c>
      <c r="AZ11" s="35" t="str">
        <f t="shared" ca="1" si="8"/>
        <v/>
      </c>
      <c r="BA11" s="35" t="str">
        <f t="shared" ca="1" si="8"/>
        <v/>
      </c>
      <c r="BB11" s="35" t="str">
        <f t="shared" ca="1" si="8"/>
        <v/>
      </c>
      <c r="BC11" s="35" t="str">
        <f t="shared" ca="1" si="8"/>
        <v/>
      </c>
      <c r="BD11" s="35" t="str">
        <f t="shared" ca="1" si="8"/>
        <v/>
      </c>
      <c r="BE11" s="35" t="str">
        <f t="shared" ca="1" si="9"/>
        <v/>
      </c>
      <c r="BF11" s="35" t="str">
        <f t="shared" ca="1" si="9"/>
        <v/>
      </c>
      <c r="BG11" s="35" t="str">
        <f t="shared" ca="1" si="9"/>
        <v/>
      </c>
      <c r="BH11" s="35" t="str">
        <f t="shared" ca="1" si="9"/>
        <v/>
      </c>
      <c r="BI11" s="35" t="str">
        <f t="shared" ca="1" si="9"/>
        <v/>
      </c>
      <c r="BJ11" s="35" t="str">
        <f t="shared" ca="1" si="9"/>
        <v/>
      </c>
      <c r="BK11" s="35" t="str">
        <f t="shared" ca="1" si="9"/>
        <v/>
      </c>
      <c r="BL11" s="35" t="str">
        <f t="shared" ca="1" si="9"/>
        <v/>
      </c>
    </row>
    <row r="12" spans="1:64" s="2" customFormat="1" ht="30" customHeight="1" x14ac:dyDescent="0.25">
      <c r="A12" s="14"/>
      <c r="B12" s="48" t="s">
        <v>57</v>
      </c>
      <c r="C12" s="32" t="s">
        <v>18</v>
      </c>
      <c r="D12" s="32" t="s">
        <v>65</v>
      </c>
      <c r="E12" s="29">
        <v>1</v>
      </c>
      <c r="F12" s="30">
        <f>F11+G11</f>
        <v>45018</v>
      </c>
      <c r="G12" s="31">
        <v>1</v>
      </c>
      <c r="H12" s="25"/>
      <c r="I12" s="35" t="str">
        <f t="shared" ca="1" si="10"/>
        <v/>
      </c>
      <c r="J12" s="35" t="str">
        <f t="shared" ca="1" si="6"/>
        <v/>
      </c>
      <c r="K12" s="35" t="str">
        <f t="shared" ca="1" si="6"/>
        <v/>
      </c>
      <c r="L12" s="35" t="str">
        <f t="shared" ca="1" si="6"/>
        <v/>
      </c>
      <c r="M12" s="35" t="str">
        <f t="shared" ca="1" si="6"/>
        <v/>
      </c>
      <c r="N12" s="35" t="str">
        <f t="shared" ca="1" si="6"/>
        <v/>
      </c>
      <c r="O12" s="35" t="str">
        <f t="shared" ca="1" si="6"/>
        <v/>
      </c>
      <c r="P12" s="35" t="str">
        <f t="shared" ca="1" si="6"/>
        <v/>
      </c>
      <c r="Q12" s="35" t="str">
        <f t="shared" ca="1" si="6"/>
        <v/>
      </c>
      <c r="R12" s="35" t="str">
        <f t="shared" ca="1" si="6"/>
        <v/>
      </c>
      <c r="S12" s="35" t="str">
        <f t="shared" ca="1" si="6"/>
        <v/>
      </c>
      <c r="T12" s="35" t="str">
        <f t="shared" ca="1" si="6"/>
        <v/>
      </c>
      <c r="U12" s="35" t="str">
        <f t="shared" ca="1" si="6"/>
        <v/>
      </c>
      <c r="V12" s="35" t="str">
        <f t="shared" ca="1" si="6"/>
        <v/>
      </c>
      <c r="W12" s="35" t="str">
        <f t="shared" ca="1" si="6"/>
        <v/>
      </c>
      <c r="X12" s="35" t="str">
        <f t="shared" ca="1" si="6"/>
        <v/>
      </c>
      <c r="Y12" s="35" t="str">
        <f t="shared" ca="1" si="7"/>
        <v/>
      </c>
      <c r="Z12" s="35" t="str">
        <f t="shared" ca="1" si="7"/>
        <v/>
      </c>
      <c r="AA12" s="35" t="str">
        <f t="shared" ca="1" si="7"/>
        <v/>
      </c>
      <c r="AB12" s="35" t="str">
        <f t="shared" ca="1" si="7"/>
        <v/>
      </c>
      <c r="AC12" s="35" t="str">
        <f t="shared" ca="1" si="7"/>
        <v/>
      </c>
      <c r="AD12" s="35" t="str">
        <f t="shared" ca="1" si="7"/>
        <v/>
      </c>
      <c r="AE12" s="35" t="str">
        <f t="shared" ca="1" si="7"/>
        <v/>
      </c>
      <c r="AF12" s="35" t="str">
        <f t="shared" ca="1" si="7"/>
        <v/>
      </c>
      <c r="AG12" s="35" t="str">
        <f t="shared" ca="1" si="7"/>
        <v/>
      </c>
      <c r="AH12" s="35" t="str">
        <f t="shared" ca="1" si="7"/>
        <v/>
      </c>
      <c r="AI12" s="35" t="str">
        <f t="shared" ca="1" si="7"/>
        <v/>
      </c>
      <c r="AJ12" s="35" t="str">
        <f t="shared" ca="1" si="7"/>
        <v/>
      </c>
      <c r="AK12" s="35" t="str">
        <f t="shared" ca="1" si="7"/>
        <v/>
      </c>
      <c r="AL12" s="35" t="str">
        <f t="shared" ca="1" si="7"/>
        <v/>
      </c>
      <c r="AM12" s="35" t="str">
        <f t="shared" ca="1" si="7"/>
        <v/>
      </c>
      <c r="AN12" s="35" t="str">
        <f t="shared" ca="1" si="7"/>
        <v/>
      </c>
      <c r="AO12" s="35" t="str">
        <f t="shared" ca="1" si="8"/>
        <v/>
      </c>
      <c r="AP12" s="35" t="str">
        <f t="shared" ca="1" si="8"/>
        <v/>
      </c>
      <c r="AQ12" s="35" t="str">
        <f t="shared" ca="1" si="8"/>
        <v/>
      </c>
      <c r="AR12" s="35" t="str">
        <f t="shared" ca="1" si="8"/>
        <v/>
      </c>
      <c r="AS12" s="35" t="str">
        <f t="shared" ca="1" si="8"/>
        <v/>
      </c>
      <c r="AT12" s="35" t="str">
        <f t="shared" ca="1" si="8"/>
        <v/>
      </c>
      <c r="AU12" s="35" t="str">
        <f t="shared" ca="1" si="8"/>
        <v/>
      </c>
      <c r="AV12" s="35" t="str">
        <f t="shared" ca="1" si="8"/>
        <v/>
      </c>
      <c r="AW12" s="35" t="str">
        <f t="shared" ca="1" si="8"/>
        <v/>
      </c>
      <c r="AX12" s="35" t="str">
        <f t="shared" ca="1" si="8"/>
        <v/>
      </c>
      <c r="AY12" s="35" t="str">
        <f t="shared" ca="1" si="8"/>
        <v/>
      </c>
      <c r="AZ12" s="35" t="str">
        <f t="shared" ca="1" si="8"/>
        <v/>
      </c>
      <c r="BA12" s="35" t="str">
        <f t="shared" ca="1" si="8"/>
        <v/>
      </c>
      <c r="BB12" s="35" t="str">
        <f t="shared" ca="1" si="8"/>
        <v/>
      </c>
      <c r="BC12" s="35" t="str">
        <f t="shared" ca="1" si="8"/>
        <v/>
      </c>
      <c r="BD12" s="35" t="str">
        <f t="shared" ca="1" si="8"/>
        <v/>
      </c>
      <c r="BE12" s="35" t="str">
        <f t="shared" ca="1" si="9"/>
        <v/>
      </c>
      <c r="BF12" s="35" t="str">
        <f t="shared" ca="1" si="9"/>
        <v/>
      </c>
      <c r="BG12" s="35" t="str">
        <f t="shared" ca="1" si="9"/>
        <v/>
      </c>
      <c r="BH12" s="35" t="str">
        <f t="shared" ca="1" si="9"/>
        <v/>
      </c>
      <c r="BI12" s="35" t="str">
        <f t="shared" ca="1" si="9"/>
        <v/>
      </c>
      <c r="BJ12" s="35" t="str">
        <f t="shared" ca="1" si="9"/>
        <v/>
      </c>
      <c r="BK12" s="35" t="str">
        <f t="shared" ca="1" si="9"/>
        <v/>
      </c>
      <c r="BL12" s="35" t="str">
        <f t="shared" ca="1" si="9"/>
        <v/>
      </c>
    </row>
    <row r="13" spans="1:64" s="2" customFormat="1" ht="30" customHeight="1" x14ac:dyDescent="0.25">
      <c r="A13" s="14"/>
      <c r="B13" s="48" t="s">
        <v>33</v>
      </c>
      <c r="C13" s="32" t="s">
        <v>18</v>
      </c>
      <c r="D13" s="32" t="s">
        <v>67</v>
      </c>
      <c r="E13" s="29">
        <v>1</v>
      </c>
      <c r="F13" s="30">
        <f>F12+G12</f>
        <v>45019</v>
      </c>
      <c r="G13" s="31">
        <v>1</v>
      </c>
      <c r="H13" s="2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c r="BI13" s="35"/>
      <c r="BJ13" s="35"/>
      <c r="BK13" s="35"/>
      <c r="BL13" s="35"/>
    </row>
    <row r="14" spans="1:64" s="2" customFormat="1" ht="30" customHeight="1" x14ac:dyDescent="0.25">
      <c r="A14" s="15"/>
      <c r="B14" s="49" t="s">
        <v>34</v>
      </c>
      <c r="C14" s="32"/>
      <c r="D14" s="32"/>
      <c r="E14" s="29"/>
      <c r="F14"/>
      <c r="G14"/>
      <c r="H14" s="25"/>
      <c r="I14" s="35" t="str">
        <f t="shared" ca="1" si="10"/>
        <v/>
      </c>
      <c r="J14" s="35" t="str">
        <f t="shared" ca="1" si="6"/>
        <v/>
      </c>
      <c r="K14" s="35" t="str">
        <f t="shared" ca="1" si="6"/>
        <v/>
      </c>
      <c r="L14" s="35" t="str">
        <f t="shared" ca="1" si="6"/>
        <v/>
      </c>
      <c r="M14" s="35" t="str">
        <f t="shared" ca="1" si="6"/>
        <v/>
      </c>
      <c r="N14" s="35" t="str">
        <f t="shared" ca="1" si="6"/>
        <v/>
      </c>
      <c r="O14" s="35" t="str">
        <f t="shared" ca="1" si="6"/>
        <v/>
      </c>
      <c r="P14" s="35" t="str">
        <f t="shared" ca="1" si="6"/>
        <v/>
      </c>
      <c r="Q14" s="35" t="str">
        <f t="shared" ca="1" si="6"/>
        <v/>
      </c>
      <c r="R14" s="35" t="str">
        <f t="shared" ca="1" si="6"/>
        <v/>
      </c>
      <c r="S14" s="35" t="str">
        <f t="shared" ca="1" si="6"/>
        <v/>
      </c>
      <c r="T14" s="35" t="str">
        <f t="shared" ca="1" si="6"/>
        <v/>
      </c>
      <c r="U14" s="35" t="str">
        <f t="shared" ca="1" si="6"/>
        <v/>
      </c>
      <c r="V14" s="35" t="str">
        <f t="shared" ca="1" si="6"/>
        <v/>
      </c>
      <c r="W14" s="35" t="str">
        <f t="shared" ca="1" si="6"/>
        <v/>
      </c>
      <c r="X14" s="35" t="str">
        <f t="shared" ca="1" si="6"/>
        <v/>
      </c>
      <c r="Y14" s="35" t="str">
        <f t="shared" ca="1" si="7"/>
        <v/>
      </c>
      <c r="Z14" s="35" t="str">
        <f t="shared" ca="1" si="7"/>
        <v/>
      </c>
      <c r="AA14" s="35" t="str">
        <f t="shared" ca="1" si="7"/>
        <v/>
      </c>
      <c r="AB14" s="35" t="str">
        <f t="shared" ca="1" si="7"/>
        <v/>
      </c>
      <c r="AC14" s="35" t="str">
        <f t="shared" ca="1" si="7"/>
        <v/>
      </c>
      <c r="AD14" s="35" t="str">
        <f t="shared" ca="1" si="7"/>
        <v/>
      </c>
      <c r="AE14" s="35" t="str">
        <f t="shared" ca="1" si="7"/>
        <v/>
      </c>
      <c r="AF14" s="35" t="str">
        <f t="shared" ca="1" si="7"/>
        <v/>
      </c>
      <c r="AG14" s="35" t="str">
        <f t="shared" ca="1" si="7"/>
        <v/>
      </c>
      <c r="AH14" s="35" t="str">
        <f t="shared" ca="1" si="7"/>
        <v/>
      </c>
      <c r="AI14" s="35" t="str">
        <f t="shared" ca="1" si="7"/>
        <v/>
      </c>
      <c r="AJ14" s="35" t="str">
        <f t="shared" ca="1" si="7"/>
        <v/>
      </c>
      <c r="AK14" s="35" t="str">
        <f t="shared" ca="1" si="7"/>
        <v/>
      </c>
      <c r="AL14" s="35" t="str">
        <f t="shared" ca="1" si="7"/>
        <v/>
      </c>
      <c r="AM14" s="35" t="str">
        <f t="shared" ca="1" si="7"/>
        <v/>
      </c>
      <c r="AN14" s="35" t="str">
        <f t="shared" ca="1" si="7"/>
        <v/>
      </c>
      <c r="AO14" s="35" t="str">
        <f t="shared" ca="1" si="8"/>
        <v/>
      </c>
      <c r="AP14" s="35" t="str">
        <f t="shared" ca="1" si="8"/>
        <v/>
      </c>
      <c r="AQ14" s="35" t="str">
        <f t="shared" ca="1" si="8"/>
        <v/>
      </c>
      <c r="AR14" s="35" t="str">
        <f t="shared" ca="1" si="8"/>
        <v/>
      </c>
      <c r="AS14" s="35" t="str">
        <f t="shared" ca="1" si="8"/>
        <v/>
      </c>
      <c r="AT14" s="35" t="str">
        <f t="shared" ca="1" si="8"/>
        <v/>
      </c>
      <c r="AU14" s="35" t="str">
        <f t="shared" ca="1" si="8"/>
        <v/>
      </c>
      <c r="AV14" s="35" t="str">
        <f t="shared" ca="1" si="8"/>
        <v/>
      </c>
      <c r="AW14" s="35" t="str">
        <f t="shared" ca="1" si="8"/>
        <v/>
      </c>
      <c r="AX14" s="35" t="str">
        <f t="shared" ca="1" si="8"/>
        <v/>
      </c>
      <c r="AY14" s="35" t="str">
        <f t="shared" ca="1" si="8"/>
        <v/>
      </c>
      <c r="AZ14" s="35" t="str">
        <f t="shared" ca="1" si="8"/>
        <v/>
      </c>
      <c r="BA14" s="35" t="str">
        <f t="shared" ca="1" si="8"/>
        <v/>
      </c>
      <c r="BB14" s="35" t="str">
        <f t="shared" ca="1" si="8"/>
        <v/>
      </c>
      <c r="BC14" s="35" t="str">
        <f t="shared" ca="1" si="8"/>
        <v/>
      </c>
      <c r="BD14" s="35" t="str">
        <f t="shared" ca="1" si="8"/>
        <v/>
      </c>
      <c r="BE14" s="35" t="str">
        <f t="shared" ca="1" si="9"/>
        <v/>
      </c>
      <c r="BF14" s="35" t="str">
        <f t="shared" ca="1" si="9"/>
        <v/>
      </c>
      <c r="BG14" s="35" t="str">
        <f t="shared" ca="1" si="9"/>
        <v/>
      </c>
      <c r="BH14" s="35" t="str">
        <f t="shared" ca="1" si="9"/>
        <v/>
      </c>
      <c r="BI14" s="35" t="str">
        <f t="shared" ca="1" si="9"/>
        <v/>
      </c>
      <c r="BJ14" s="35" t="str">
        <f t="shared" ca="1" si="9"/>
        <v/>
      </c>
      <c r="BK14" s="35" t="str">
        <f t="shared" ca="1" si="9"/>
        <v/>
      </c>
      <c r="BL14" s="35" t="str">
        <f t="shared" ca="1" si="9"/>
        <v/>
      </c>
    </row>
    <row r="15" spans="1:64" s="2" customFormat="1" ht="30" customHeight="1" x14ac:dyDescent="0.25">
      <c r="A15" s="15"/>
      <c r="B15" s="48" t="s">
        <v>36</v>
      </c>
      <c r="C15" s="32" t="s">
        <v>17</v>
      </c>
      <c r="D15" s="32" t="s">
        <v>64</v>
      </c>
      <c r="E15" s="29">
        <v>1</v>
      </c>
      <c r="F15" s="30">
        <f>F13+G13</f>
        <v>45020</v>
      </c>
      <c r="G15" s="31">
        <v>8</v>
      </c>
      <c r="H15" s="25"/>
      <c r="I15" s="35" t="str">
        <f t="shared" ca="1" si="10"/>
        <v/>
      </c>
      <c r="J15" s="35" t="str">
        <f t="shared" ca="1" si="6"/>
        <v/>
      </c>
      <c r="K15" s="35" t="str">
        <f t="shared" ca="1" si="6"/>
        <v/>
      </c>
      <c r="L15" s="35" t="str">
        <f t="shared" ca="1" si="6"/>
        <v/>
      </c>
      <c r="M15" s="35" t="str">
        <f t="shared" ca="1" si="6"/>
        <v/>
      </c>
      <c r="N15" s="35" t="str">
        <f t="shared" ca="1" si="6"/>
        <v/>
      </c>
      <c r="O15" s="35" t="str">
        <f t="shared" ca="1" si="6"/>
        <v/>
      </c>
      <c r="P15" s="35" t="str">
        <f t="shared" ca="1" si="6"/>
        <v/>
      </c>
      <c r="Q15" s="35" t="str">
        <f t="shared" ca="1" si="6"/>
        <v/>
      </c>
      <c r="R15" s="35" t="str">
        <f t="shared" ca="1" si="6"/>
        <v/>
      </c>
      <c r="S15" s="35" t="str">
        <f t="shared" ca="1" si="6"/>
        <v/>
      </c>
      <c r="T15" s="35" t="str">
        <f t="shared" ca="1" si="6"/>
        <v/>
      </c>
      <c r="U15" s="35" t="str">
        <f t="shared" ca="1" si="6"/>
        <v/>
      </c>
      <c r="V15" s="35" t="str">
        <f t="shared" ca="1" si="6"/>
        <v/>
      </c>
      <c r="W15" s="35" t="str">
        <f t="shared" ca="1" si="6"/>
        <v/>
      </c>
      <c r="X15" s="35" t="str">
        <f t="shared" ca="1" si="6"/>
        <v/>
      </c>
      <c r="Y15" s="35" t="str">
        <f t="shared" ca="1" si="7"/>
        <v/>
      </c>
      <c r="Z15" s="35" t="str">
        <f t="shared" ca="1" si="7"/>
        <v/>
      </c>
      <c r="AA15" s="35" t="str">
        <f t="shared" ca="1" si="7"/>
        <v/>
      </c>
      <c r="AB15" s="35" t="str">
        <f t="shared" ca="1" si="7"/>
        <v/>
      </c>
      <c r="AC15" s="35" t="str">
        <f t="shared" ca="1" si="7"/>
        <v/>
      </c>
      <c r="AD15" s="35" t="str">
        <f t="shared" ca="1" si="7"/>
        <v/>
      </c>
      <c r="AE15" s="35" t="str">
        <f t="shared" ca="1" si="7"/>
        <v/>
      </c>
      <c r="AF15" s="35" t="str">
        <f t="shared" ca="1" si="7"/>
        <v/>
      </c>
      <c r="AG15" s="35" t="str">
        <f t="shared" ca="1" si="7"/>
        <v/>
      </c>
      <c r="AH15" s="35" t="str">
        <f t="shared" ca="1" si="7"/>
        <v/>
      </c>
      <c r="AI15" s="35" t="str">
        <f t="shared" ca="1" si="7"/>
        <v/>
      </c>
      <c r="AJ15" s="35" t="str">
        <f t="shared" ca="1" si="7"/>
        <v/>
      </c>
      <c r="AK15" s="35" t="str">
        <f t="shared" ca="1" si="7"/>
        <v/>
      </c>
      <c r="AL15" s="35" t="str">
        <f t="shared" ca="1" si="7"/>
        <v/>
      </c>
      <c r="AM15" s="35" t="str">
        <f t="shared" ca="1" si="7"/>
        <v/>
      </c>
      <c r="AN15" s="35" t="str">
        <f t="shared" ca="1" si="7"/>
        <v/>
      </c>
      <c r="AO15" s="35" t="str">
        <f t="shared" ca="1" si="8"/>
        <v/>
      </c>
      <c r="AP15" s="35" t="str">
        <f t="shared" ca="1" si="8"/>
        <v/>
      </c>
      <c r="AQ15" s="35" t="str">
        <f t="shared" ca="1" si="8"/>
        <v/>
      </c>
      <c r="AR15" s="35" t="str">
        <f t="shared" ca="1" si="8"/>
        <v/>
      </c>
      <c r="AS15" s="35" t="str">
        <f t="shared" ca="1" si="8"/>
        <v/>
      </c>
      <c r="AT15" s="35" t="str">
        <f t="shared" ca="1" si="8"/>
        <v/>
      </c>
      <c r="AU15" s="35" t="str">
        <f t="shared" ca="1" si="8"/>
        <v/>
      </c>
      <c r="AV15" s="35" t="str">
        <f t="shared" ca="1" si="8"/>
        <v/>
      </c>
      <c r="AW15" s="35" t="str">
        <f t="shared" ca="1" si="8"/>
        <v/>
      </c>
      <c r="AX15" s="35" t="str">
        <f t="shared" ca="1" si="8"/>
        <v/>
      </c>
      <c r="AY15" s="35" t="str">
        <f t="shared" ca="1" si="8"/>
        <v/>
      </c>
      <c r="AZ15" s="35" t="str">
        <f t="shared" ca="1" si="8"/>
        <v/>
      </c>
      <c r="BA15" s="35" t="str">
        <f t="shared" ca="1" si="8"/>
        <v/>
      </c>
      <c r="BB15" s="35" t="str">
        <f t="shared" ca="1" si="8"/>
        <v/>
      </c>
      <c r="BC15" s="35" t="str">
        <f t="shared" ca="1" si="8"/>
        <v/>
      </c>
      <c r="BD15" s="35" t="str">
        <f t="shared" ca="1" si="8"/>
        <v/>
      </c>
      <c r="BE15" s="35" t="str">
        <f t="shared" ca="1" si="9"/>
        <v/>
      </c>
      <c r="BF15" s="35" t="str">
        <f t="shared" ca="1" si="9"/>
        <v/>
      </c>
      <c r="BG15" s="35" t="str">
        <f t="shared" ca="1" si="9"/>
        <v/>
      </c>
      <c r="BH15" s="35" t="str">
        <f t="shared" ca="1" si="9"/>
        <v/>
      </c>
      <c r="BI15" s="35" t="str">
        <f t="shared" ca="1" si="9"/>
        <v/>
      </c>
      <c r="BJ15" s="35" t="str">
        <f t="shared" ca="1" si="9"/>
        <v/>
      </c>
      <c r="BK15" s="35" t="str">
        <f t="shared" ca="1" si="9"/>
        <v/>
      </c>
      <c r="BL15" s="35" t="str">
        <f t="shared" ca="1" si="9"/>
        <v/>
      </c>
    </row>
    <row r="16" spans="1:64" s="2" customFormat="1" ht="30" customHeight="1" x14ac:dyDescent="0.25">
      <c r="A16" s="14"/>
      <c r="B16" s="48" t="s">
        <v>37</v>
      </c>
      <c r="C16" s="32" t="s">
        <v>18</v>
      </c>
      <c r="D16" s="32" t="s">
        <v>64</v>
      </c>
      <c r="E16" s="29">
        <v>1</v>
      </c>
      <c r="F16" s="30">
        <f>F15+G15</f>
        <v>45028</v>
      </c>
      <c r="G16" s="31">
        <v>6</v>
      </c>
      <c r="H16" s="25"/>
      <c r="I16" s="35" t="str">
        <f t="shared" ca="1" si="10"/>
        <v/>
      </c>
      <c r="J16" s="35" t="str">
        <f t="shared" ca="1" si="6"/>
        <v/>
      </c>
      <c r="K16" s="35" t="str">
        <f t="shared" ca="1" si="6"/>
        <v/>
      </c>
      <c r="L16" s="35" t="str">
        <f t="shared" ca="1" si="6"/>
        <v/>
      </c>
      <c r="M16" s="35" t="str">
        <f t="shared" ca="1" si="6"/>
        <v/>
      </c>
      <c r="N16" s="35" t="str">
        <f t="shared" ca="1" si="6"/>
        <v/>
      </c>
      <c r="O16" s="35" t="str">
        <f t="shared" ca="1" si="6"/>
        <v/>
      </c>
      <c r="P16" s="35" t="str">
        <f t="shared" ca="1" si="6"/>
        <v/>
      </c>
      <c r="Q16" s="35" t="str">
        <f t="shared" ca="1" si="6"/>
        <v/>
      </c>
      <c r="R16" s="35" t="str">
        <f t="shared" ca="1" si="6"/>
        <v/>
      </c>
      <c r="S16" s="35" t="str">
        <f t="shared" ca="1" si="6"/>
        <v/>
      </c>
      <c r="T16" s="35" t="str">
        <f t="shared" ca="1" si="6"/>
        <v/>
      </c>
      <c r="U16" s="35" t="str">
        <f t="shared" ca="1" si="6"/>
        <v/>
      </c>
      <c r="V16" s="35" t="str">
        <f t="shared" ca="1" si="6"/>
        <v/>
      </c>
      <c r="W16" s="35" t="str">
        <f t="shared" ca="1" si="6"/>
        <v/>
      </c>
      <c r="X16" s="35" t="str">
        <f t="shared" ca="1" si="6"/>
        <v/>
      </c>
      <c r="Y16" s="35" t="str">
        <f t="shared" ca="1" si="7"/>
        <v/>
      </c>
      <c r="Z16" s="35" t="str">
        <f t="shared" ca="1" si="7"/>
        <v/>
      </c>
      <c r="AA16" s="35" t="str">
        <f t="shared" ca="1" si="7"/>
        <v/>
      </c>
      <c r="AB16" s="35" t="str">
        <f t="shared" ca="1" si="7"/>
        <v/>
      </c>
      <c r="AC16" s="35" t="str">
        <f t="shared" ca="1" si="7"/>
        <v/>
      </c>
      <c r="AD16" s="35" t="str">
        <f t="shared" ca="1" si="7"/>
        <v/>
      </c>
      <c r="AE16" s="35" t="str">
        <f t="shared" ca="1" si="7"/>
        <v/>
      </c>
      <c r="AF16" s="35" t="str">
        <f t="shared" ca="1" si="7"/>
        <v/>
      </c>
      <c r="AG16" s="35" t="str">
        <f t="shared" ca="1" si="7"/>
        <v/>
      </c>
      <c r="AH16" s="35" t="str">
        <f t="shared" ca="1" si="7"/>
        <v/>
      </c>
      <c r="AI16" s="35" t="str">
        <f t="shared" ca="1" si="7"/>
        <v/>
      </c>
      <c r="AJ16" s="35" t="str">
        <f t="shared" ca="1" si="7"/>
        <v/>
      </c>
      <c r="AK16" s="35" t="str">
        <f t="shared" ca="1" si="7"/>
        <v/>
      </c>
      <c r="AL16" s="35" t="str">
        <f t="shared" ca="1" si="7"/>
        <v/>
      </c>
      <c r="AM16" s="35" t="str">
        <f t="shared" ca="1" si="7"/>
        <v/>
      </c>
      <c r="AN16" s="35" t="str">
        <f t="shared" ca="1" si="7"/>
        <v/>
      </c>
      <c r="AO16" s="35" t="str">
        <f t="shared" ca="1" si="8"/>
        <v/>
      </c>
      <c r="AP16" s="35" t="str">
        <f t="shared" ca="1" si="8"/>
        <v/>
      </c>
      <c r="AQ16" s="35" t="str">
        <f t="shared" ca="1" si="8"/>
        <v/>
      </c>
      <c r="AR16" s="35" t="str">
        <f t="shared" ca="1" si="8"/>
        <v/>
      </c>
      <c r="AS16" s="35" t="str">
        <f t="shared" ca="1" si="8"/>
        <v/>
      </c>
      <c r="AT16" s="35" t="str">
        <f t="shared" ca="1" si="8"/>
        <v/>
      </c>
      <c r="AU16" s="35" t="str">
        <f t="shared" ca="1" si="8"/>
        <v/>
      </c>
      <c r="AV16" s="35" t="str">
        <f t="shared" ca="1" si="8"/>
        <v/>
      </c>
      <c r="AW16" s="35" t="str">
        <f t="shared" ca="1" si="8"/>
        <v/>
      </c>
      <c r="AX16" s="35" t="str">
        <f t="shared" ca="1" si="8"/>
        <v/>
      </c>
      <c r="AY16" s="35" t="str">
        <f t="shared" ca="1" si="8"/>
        <v/>
      </c>
      <c r="AZ16" s="35" t="str">
        <f t="shared" ca="1" si="8"/>
        <v/>
      </c>
      <c r="BA16" s="35" t="str">
        <f t="shared" ca="1" si="8"/>
        <v/>
      </c>
      <c r="BB16" s="35" t="str">
        <f t="shared" ca="1" si="8"/>
        <v/>
      </c>
      <c r="BC16" s="35" t="str">
        <f t="shared" ca="1" si="8"/>
        <v/>
      </c>
      <c r="BD16" s="35" t="str">
        <f t="shared" ca="1" si="8"/>
        <v/>
      </c>
      <c r="BE16" s="35" t="str">
        <f t="shared" ca="1" si="9"/>
        <v/>
      </c>
      <c r="BF16" s="35" t="str">
        <f t="shared" ca="1" si="9"/>
        <v/>
      </c>
      <c r="BG16" s="35" t="str">
        <f t="shared" ca="1" si="9"/>
        <v/>
      </c>
      <c r="BH16" s="35" t="str">
        <f t="shared" ca="1" si="9"/>
        <v/>
      </c>
      <c r="BI16" s="35" t="str">
        <f t="shared" ca="1" si="9"/>
        <v/>
      </c>
      <c r="BJ16" s="35" t="str">
        <f t="shared" ca="1" si="9"/>
        <v/>
      </c>
      <c r="BK16" s="35" t="str">
        <f t="shared" ca="1" si="9"/>
        <v/>
      </c>
      <c r="BL16" s="35" t="str">
        <f t="shared" ca="1" si="9"/>
        <v/>
      </c>
    </row>
    <row r="17" spans="1:64" s="2" customFormat="1" ht="30" customHeight="1" x14ac:dyDescent="0.25">
      <c r="A17" s="14"/>
      <c r="B17" s="48" t="s">
        <v>38</v>
      </c>
      <c r="C17" s="32" t="s">
        <v>18</v>
      </c>
      <c r="D17" s="32" t="s">
        <v>65</v>
      </c>
      <c r="E17" s="29">
        <v>1</v>
      </c>
      <c r="F17" s="30">
        <f>F16+G16</f>
        <v>45034</v>
      </c>
      <c r="G17" s="31">
        <v>7</v>
      </c>
      <c r="H17" s="25"/>
      <c r="I17" s="35" t="str">
        <f t="shared" ca="1" si="10"/>
        <v/>
      </c>
      <c r="J17" s="35" t="str">
        <f t="shared" ca="1" si="6"/>
        <v/>
      </c>
      <c r="K17" s="35" t="str">
        <f t="shared" ca="1" si="6"/>
        <v/>
      </c>
      <c r="L17" s="35" t="str">
        <f t="shared" ca="1" si="6"/>
        <v/>
      </c>
      <c r="M17" s="35" t="str">
        <f t="shared" ca="1" si="6"/>
        <v/>
      </c>
      <c r="N17" s="35" t="str">
        <f t="shared" ca="1" si="6"/>
        <v/>
      </c>
      <c r="O17" s="35" t="str">
        <f t="shared" ca="1" si="6"/>
        <v/>
      </c>
      <c r="P17" s="35" t="str">
        <f t="shared" ca="1" si="6"/>
        <v/>
      </c>
      <c r="Q17" s="35" t="str">
        <f t="shared" ca="1" si="6"/>
        <v/>
      </c>
      <c r="R17" s="35" t="str">
        <f t="shared" ca="1" si="6"/>
        <v/>
      </c>
      <c r="S17" s="35" t="str">
        <f t="shared" ca="1" si="6"/>
        <v/>
      </c>
      <c r="T17" s="35" t="str">
        <f t="shared" ca="1" si="6"/>
        <v/>
      </c>
      <c r="U17" s="35" t="str">
        <f t="shared" ca="1" si="6"/>
        <v/>
      </c>
      <c r="V17" s="35" t="str">
        <f t="shared" ca="1" si="6"/>
        <v/>
      </c>
      <c r="W17" s="35" t="str">
        <f t="shared" ca="1" si="6"/>
        <v/>
      </c>
      <c r="X17" s="35" t="str">
        <f t="shared" ca="1" si="6"/>
        <v/>
      </c>
      <c r="Y17" s="35" t="str">
        <f t="shared" ca="1" si="7"/>
        <v/>
      </c>
      <c r="Z17" s="35" t="str">
        <f t="shared" ca="1" si="7"/>
        <v/>
      </c>
      <c r="AA17" s="35" t="str">
        <f t="shared" ca="1" si="7"/>
        <v/>
      </c>
      <c r="AB17" s="35" t="str">
        <f t="shared" ca="1" si="7"/>
        <v/>
      </c>
      <c r="AC17" s="35" t="str">
        <f t="shared" ca="1" si="7"/>
        <v/>
      </c>
      <c r="AD17" s="35" t="str">
        <f t="shared" ca="1" si="7"/>
        <v/>
      </c>
      <c r="AE17" s="35" t="str">
        <f t="shared" ca="1" si="7"/>
        <v/>
      </c>
      <c r="AF17" s="35" t="str">
        <f t="shared" ca="1" si="7"/>
        <v/>
      </c>
      <c r="AG17" s="35" t="str">
        <f t="shared" ca="1" si="7"/>
        <v/>
      </c>
      <c r="AH17" s="35" t="str">
        <f t="shared" ca="1" si="7"/>
        <v/>
      </c>
      <c r="AI17" s="35" t="str">
        <f t="shared" ca="1" si="7"/>
        <v/>
      </c>
      <c r="AJ17" s="35" t="str">
        <f t="shared" ca="1" si="7"/>
        <v/>
      </c>
      <c r="AK17" s="35" t="str">
        <f t="shared" ca="1" si="7"/>
        <v/>
      </c>
      <c r="AL17" s="35" t="str">
        <f t="shared" ca="1" si="7"/>
        <v/>
      </c>
      <c r="AM17" s="35" t="str">
        <f t="shared" ca="1" si="7"/>
        <v/>
      </c>
      <c r="AN17" s="35" t="str">
        <f t="shared" ca="1" si="7"/>
        <v/>
      </c>
      <c r="AO17" s="35" t="str">
        <f t="shared" ca="1" si="8"/>
        <v/>
      </c>
      <c r="AP17" s="35" t="str">
        <f t="shared" ca="1" si="8"/>
        <v/>
      </c>
      <c r="AQ17" s="35" t="str">
        <f t="shared" ca="1" si="8"/>
        <v/>
      </c>
      <c r="AR17" s="35" t="str">
        <f t="shared" ca="1" si="8"/>
        <v/>
      </c>
      <c r="AS17" s="35" t="str">
        <f t="shared" ca="1" si="8"/>
        <v/>
      </c>
      <c r="AT17" s="35" t="str">
        <f t="shared" ca="1" si="8"/>
        <v/>
      </c>
      <c r="AU17" s="35" t="str">
        <f t="shared" ca="1" si="8"/>
        <v/>
      </c>
      <c r="AV17" s="35" t="str">
        <f t="shared" ca="1" si="8"/>
        <v/>
      </c>
      <c r="AW17" s="35" t="str">
        <f t="shared" ca="1" si="8"/>
        <v/>
      </c>
      <c r="AX17" s="35" t="str">
        <f t="shared" ca="1" si="8"/>
        <v/>
      </c>
      <c r="AY17" s="35" t="str">
        <f t="shared" ca="1" si="8"/>
        <v/>
      </c>
      <c r="AZ17" s="35" t="str">
        <f t="shared" ca="1" si="8"/>
        <v/>
      </c>
      <c r="BA17" s="35" t="str">
        <f t="shared" ca="1" si="8"/>
        <v/>
      </c>
      <c r="BB17" s="35" t="str">
        <f t="shared" ca="1" si="8"/>
        <v/>
      </c>
      <c r="BC17" s="35" t="str">
        <f t="shared" ca="1" si="8"/>
        <v/>
      </c>
      <c r="BD17" s="35" t="str">
        <f t="shared" ca="1" si="8"/>
        <v/>
      </c>
      <c r="BE17" s="35" t="str">
        <f t="shared" ca="1" si="9"/>
        <v/>
      </c>
      <c r="BF17" s="35" t="str">
        <f t="shared" ca="1" si="9"/>
        <v/>
      </c>
      <c r="BG17" s="35" t="str">
        <f t="shared" ca="1" si="9"/>
        <v/>
      </c>
      <c r="BH17" s="35" t="str">
        <f t="shared" ca="1" si="9"/>
        <v/>
      </c>
      <c r="BI17" s="35" t="str">
        <f t="shared" ca="1" si="9"/>
        <v/>
      </c>
      <c r="BJ17" s="35" t="str">
        <f t="shared" ca="1" si="9"/>
        <v/>
      </c>
      <c r="BK17" s="35" t="str">
        <f t="shared" ca="1" si="9"/>
        <v/>
      </c>
      <c r="BL17" s="35" t="str">
        <f t="shared" ca="1" si="9"/>
        <v/>
      </c>
    </row>
    <row r="18" spans="1:64" s="2" customFormat="1" ht="30" customHeight="1" x14ac:dyDescent="0.25">
      <c r="A18" s="14"/>
      <c r="B18" s="48" t="s">
        <v>41</v>
      </c>
      <c r="C18" s="32" t="s">
        <v>56</v>
      </c>
      <c r="D18" s="32" t="s">
        <v>66</v>
      </c>
      <c r="E18" s="29">
        <v>1</v>
      </c>
      <c r="F18" s="50">
        <f>F17+G17</f>
        <v>45041</v>
      </c>
      <c r="G18" s="31">
        <v>1</v>
      </c>
      <c r="H18" s="25"/>
      <c r="I18" s="35" t="str">
        <f t="shared" ca="1" si="10"/>
        <v/>
      </c>
      <c r="J18" s="35" t="str">
        <f t="shared" ca="1" si="6"/>
        <v/>
      </c>
      <c r="K18" s="35" t="str">
        <f t="shared" ca="1" si="6"/>
        <v/>
      </c>
      <c r="L18" s="35" t="str">
        <f t="shared" ca="1" si="6"/>
        <v/>
      </c>
      <c r="M18" s="35" t="str">
        <f t="shared" ca="1" si="6"/>
        <v/>
      </c>
      <c r="N18" s="35" t="str">
        <f t="shared" ca="1" si="6"/>
        <v/>
      </c>
      <c r="O18" s="35" t="str">
        <f t="shared" ca="1" si="6"/>
        <v/>
      </c>
      <c r="P18" s="35" t="str">
        <f t="shared" ca="1" si="6"/>
        <v/>
      </c>
      <c r="Q18" s="35" t="str">
        <f t="shared" ca="1" si="6"/>
        <v/>
      </c>
      <c r="R18" s="35" t="str">
        <f t="shared" ca="1" si="6"/>
        <v/>
      </c>
      <c r="S18" s="35" t="str">
        <f t="shared" ca="1" si="6"/>
        <v/>
      </c>
      <c r="T18" s="35" t="str">
        <f t="shared" ca="1" si="6"/>
        <v/>
      </c>
      <c r="U18" s="35" t="str">
        <f t="shared" ca="1" si="6"/>
        <v/>
      </c>
      <c r="V18" s="35" t="str">
        <f t="shared" ca="1" si="6"/>
        <v/>
      </c>
      <c r="W18" s="35" t="str">
        <f t="shared" ca="1" si="6"/>
        <v/>
      </c>
      <c r="X18" s="35" t="str">
        <f t="shared" ca="1" si="6"/>
        <v/>
      </c>
      <c r="Y18" s="35" t="str">
        <f t="shared" ca="1" si="7"/>
        <v/>
      </c>
      <c r="Z18" s="35" t="str">
        <f t="shared" ca="1" si="7"/>
        <v/>
      </c>
      <c r="AA18" s="35" t="str">
        <f t="shared" ca="1" si="7"/>
        <v/>
      </c>
      <c r="AB18" s="35" t="str">
        <f t="shared" ca="1" si="7"/>
        <v/>
      </c>
      <c r="AC18" s="35" t="str">
        <f t="shared" ca="1" si="7"/>
        <v/>
      </c>
      <c r="AD18" s="35" t="str">
        <f t="shared" ca="1" si="7"/>
        <v/>
      </c>
      <c r="AE18" s="35" t="str">
        <f t="shared" ca="1" si="7"/>
        <v/>
      </c>
      <c r="AF18" s="35" t="str">
        <f t="shared" ca="1" si="7"/>
        <v/>
      </c>
      <c r="AG18" s="35" t="str">
        <f t="shared" ca="1" si="7"/>
        <v/>
      </c>
      <c r="AH18" s="35" t="str">
        <f t="shared" ca="1" si="7"/>
        <v/>
      </c>
      <c r="AI18" s="35" t="str">
        <f t="shared" ca="1" si="7"/>
        <v/>
      </c>
      <c r="AJ18" s="35" t="str">
        <f t="shared" ca="1" si="7"/>
        <v/>
      </c>
      <c r="AK18" s="35">
        <f t="shared" ca="1" si="7"/>
        <v>1</v>
      </c>
      <c r="AL18" s="35" t="str">
        <f t="shared" ca="1" si="7"/>
        <v/>
      </c>
      <c r="AM18" s="35" t="str">
        <f t="shared" ca="1" si="7"/>
        <v/>
      </c>
      <c r="AN18" s="35" t="str">
        <f t="shared" ca="1" si="7"/>
        <v/>
      </c>
      <c r="AO18" s="35" t="str">
        <f t="shared" ca="1" si="8"/>
        <v/>
      </c>
      <c r="AP18" s="35" t="str">
        <f t="shared" ca="1" si="8"/>
        <v/>
      </c>
      <c r="AQ18" s="35" t="str">
        <f t="shared" ca="1" si="8"/>
        <v/>
      </c>
      <c r="AR18" s="35" t="str">
        <f t="shared" ca="1" si="8"/>
        <v/>
      </c>
      <c r="AS18" s="35" t="str">
        <f t="shared" ca="1" si="8"/>
        <v/>
      </c>
      <c r="AT18" s="35" t="str">
        <f t="shared" ca="1" si="8"/>
        <v/>
      </c>
      <c r="AU18" s="35" t="str">
        <f t="shared" ca="1" si="8"/>
        <v/>
      </c>
      <c r="AV18" s="35" t="str">
        <f t="shared" ca="1" si="8"/>
        <v/>
      </c>
      <c r="AW18" s="35" t="str">
        <f t="shared" ca="1" si="8"/>
        <v/>
      </c>
      <c r="AX18" s="35" t="str">
        <f t="shared" ca="1" si="8"/>
        <v/>
      </c>
      <c r="AY18" s="35" t="str">
        <f t="shared" ca="1" si="8"/>
        <v/>
      </c>
      <c r="AZ18" s="35" t="str">
        <f t="shared" ca="1" si="8"/>
        <v/>
      </c>
      <c r="BA18" s="35" t="str">
        <f t="shared" ca="1" si="8"/>
        <v/>
      </c>
      <c r="BB18" s="35" t="str">
        <f t="shared" ca="1" si="8"/>
        <v/>
      </c>
      <c r="BC18" s="35" t="str">
        <f t="shared" ca="1" si="8"/>
        <v/>
      </c>
      <c r="BD18" s="35" t="str">
        <f t="shared" ca="1" si="8"/>
        <v/>
      </c>
      <c r="BE18" s="35" t="str">
        <f t="shared" ca="1" si="9"/>
        <v/>
      </c>
      <c r="BF18" s="35" t="str">
        <f t="shared" ca="1" si="9"/>
        <v/>
      </c>
      <c r="BG18" s="35" t="str">
        <f t="shared" ca="1" si="9"/>
        <v/>
      </c>
      <c r="BH18" s="35" t="str">
        <f t="shared" ca="1" si="9"/>
        <v/>
      </c>
      <c r="BI18" s="35" t="str">
        <f t="shared" ca="1" si="9"/>
        <v/>
      </c>
      <c r="BJ18" s="35" t="str">
        <f t="shared" ca="1" si="9"/>
        <v/>
      </c>
      <c r="BK18" s="35" t="str">
        <f t="shared" ca="1" si="9"/>
        <v/>
      </c>
      <c r="BL18" s="35" t="str">
        <f t="shared" ca="1" si="9"/>
        <v/>
      </c>
    </row>
    <row r="19" spans="1:64" s="2" customFormat="1" ht="30" customHeight="1" x14ac:dyDescent="0.25">
      <c r="A19" s="14"/>
      <c r="B19" s="48" t="s">
        <v>39</v>
      </c>
      <c r="C19" s="32" t="s">
        <v>18</v>
      </c>
      <c r="D19" s="32" t="s">
        <v>67</v>
      </c>
      <c r="E19" s="29">
        <v>1</v>
      </c>
      <c r="F19" s="30">
        <v>45042</v>
      </c>
      <c r="G19" s="31">
        <v>4</v>
      </c>
      <c r="H19" s="25"/>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row>
    <row r="20" spans="1:64" s="2" customFormat="1" ht="30" customHeight="1" x14ac:dyDescent="0.25">
      <c r="A20" s="14"/>
      <c r="B20" s="49" t="s">
        <v>40</v>
      </c>
      <c r="C20" s="32"/>
      <c r="D20" s="32"/>
      <c r="E20" s="29"/>
      <c r="F20"/>
      <c r="G20"/>
      <c r="H20" s="25"/>
      <c r="I20" s="35" t="str">
        <f t="shared" ca="1" si="10"/>
        <v/>
      </c>
      <c r="J20" s="35" t="str">
        <f t="shared" ca="1" si="6"/>
        <v/>
      </c>
      <c r="K20" s="35" t="str">
        <f t="shared" ca="1" si="6"/>
        <v/>
      </c>
      <c r="L20" s="35" t="str">
        <f t="shared" ca="1" si="6"/>
        <v/>
      </c>
      <c r="M20" s="35" t="str">
        <f t="shared" ca="1" si="6"/>
        <v/>
      </c>
      <c r="N20" s="35" t="str">
        <f t="shared" ca="1" si="6"/>
        <v/>
      </c>
      <c r="O20" s="35" t="str">
        <f t="shared" ca="1" si="6"/>
        <v/>
      </c>
      <c r="P20" s="35" t="str">
        <f t="shared" ca="1" si="6"/>
        <v/>
      </c>
      <c r="Q20" s="35" t="str">
        <f t="shared" ca="1" si="6"/>
        <v/>
      </c>
      <c r="R20" s="35" t="str">
        <f t="shared" ca="1" si="6"/>
        <v/>
      </c>
      <c r="S20" s="35" t="str">
        <f t="shared" ca="1" si="6"/>
        <v/>
      </c>
      <c r="T20" s="35" t="str">
        <f t="shared" ca="1" si="6"/>
        <v/>
      </c>
      <c r="U20" s="35" t="str">
        <f t="shared" ca="1" si="6"/>
        <v/>
      </c>
      <c r="V20" s="35" t="str">
        <f t="shared" ca="1" si="6"/>
        <v/>
      </c>
      <c r="W20" s="35" t="str">
        <f t="shared" ca="1" si="6"/>
        <v/>
      </c>
      <c r="X20" s="35" t="str">
        <f t="shared" ca="1" si="6"/>
        <v/>
      </c>
      <c r="Y20" s="35" t="str">
        <f t="shared" ca="1" si="7"/>
        <v/>
      </c>
      <c r="Z20" s="35" t="str">
        <f t="shared" ca="1" si="7"/>
        <v/>
      </c>
      <c r="AA20" s="35" t="str">
        <f t="shared" ca="1" si="7"/>
        <v/>
      </c>
      <c r="AB20" s="35" t="str">
        <f t="shared" ca="1" si="7"/>
        <v/>
      </c>
      <c r="AC20" s="35" t="str">
        <f t="shared" ca="1" si="7"/>
        <v/>
      </c>
      <c r="AD20" s="35" t="str">
        <f t="shared" ca="1" si="7"/>
        <v/>
      </c>
      <c r="AE20" s="35" t="str">
        <f t="shared" ca="1" si="7"/>
        <v/>
      </c>
      <c r="AF20" s="35" t="str">
        <f t="shared" ca="1" si="7"/>
        <v/>
      </c>
      <c r="AG20" s="35" t="str">
        <f t="shared" ca="1" si="7"/>
        <v/>
      </c>
      <c r="AH20" s="35" t="str">
        <f t="shared" ca="1" si="7"/>
        <v/>
      </c>
      <c r="AI20" s="35" t="str">
        <f t="shared" ca="1" si="7"/>
        <v/>
      </c>
      <c r="AJ20" s="35" t="str">
        <f t="shared" ca="1" si="7"/>
        <v/>
      </c>
      <c r="AK20" s="35" t="str">
        <f t="shared" ca="1" si="7"/>
        <v/>
      </c>
      <c r="AL20" s="35" t="str">
        <f t="shared" ca="1" si="7"/>
        <v/>
      </c>
      <c r="AM20" s="35" t="str">
        <f t="shared" ca="1" si="7"/>
        <v/>
      </c>
      <c r="AN20" s="35" t="str">
        <f t="shared" ca="1" si="7"/>
        <v/>
      </c>
      <c r="AO20" s="35" t="str">
        <f t="shared" ca="1" si="8"/>
        <v/>
      </c>
      <c r="AP20" s="35" t="str">
        <f t="shared" ca="1" si="8"/>
        <v/>
      </c>
      <c r="AQ20" s="35" t="str">
        <f t="shared" ca="1" si="8"/>
        <v/>
      </c>
      <c r="AR20" s="35" t="str">
        <f t="shared" ca="1" si="8"/>
        <v/>
      </c>
      <c r="AS20" s="35" t="str">
        <f t="shared" ca="1" si="8"/>
        <v/>
      </c>
      <c r="AT20" s="35" t="str">
        <f t="shared" ca="1" si="8"/>
        <v/>
      </c>
      <c r="AU20" s="35" t="str">
        <f t="shared" ca="1" si="8"/>
        <v/>
      </c>
      <c r="AV20" s="35" t="str">
        <f t="shared" ca="1" si="8"/>
        <v/>
      </c>
      <c r="AW20" s="35" t="str">
        <f t="shared" ca="1" si="8"/>
        <v/>
      </c>
      <c r="AX20" s="35" t="str">
        <f t="shared" ca="1" si="8"/>
        <v/>
      </c>
      <c r="AY20" s="35" t="str">
        <f t="shared" ca="1" si="8"/>
        <v/>
      </c>
      <c r="AZ20" s="35" t="str">
        <f t="shared" ca="1" si="8"/>
        <v/>
      </c>
      <c r="BA20" s="35" t="str">
        <f t="shared" ca="1" si="8"/>
        <v/>
      </c>
      <c r="BB20" s="35" t="str">
        <f t="shared" ca="1" si="8"/>
        <v/>
      </c>
      <c r="BC20" s="35" t="str">
        <f t="shared" ca="1" si="8"/>
        <v/>
      </c>
      <c r="BD20" s="35" t="str">
        <f t="shared" ca="1" si="8"/>
        <v/>
      </c>
      <c r="BE20" s="35" t="str">
        <f t="shared" ca="1" si="9"/>
        <v/>
      </c>
      <c r="BF20" s="35" t="str">
        <f t="shared" ca="1" si="9"/>
        <v/>
      </c>
      <c r="BG20" s="35" t="str">
        <f t="shared" ca="1" si="9"/>
        <v/>
      </c>
      <c r="BH20" s="35" t="str">
        <f t="shared" ca="1" si="9"/>
        <v/>
      </c>
      <c r="BI20" s="35" t="str">
        <f t="shared" ca="1" si="9"/>
        <v/>
      </c>
      <c r="BJ20" s="35" t="str">
        <f t="shared" ca="1" si="9"/>
        <v/>
      </c>
      <c r="BK20" s="35" t="str">
        <f t="shared" ca="1" si="9"/>
        <v/>
      </c>
      <c r="BL20" s="35" t="str">
        <f t="shared" ca="1" si="9"/>
        <v/>
      </c>
    </row>
    <row r="21" spans="1:64" s="2" customFormat="1" ht="30" customHeight="1" x14ac:dyDescent="0.25">
      <c r="A21" s="14"/>
      <c r="B21" s="48" t="s">
        <v>42</v>
      </c>
      <c r="C21" s="32" t="s">
        <v>18</v>
      </c>
      <c r="D21" s="32" t="s">
        <v>65</v>
      </c>
      <c r="E21" s="29">
        <v>1</v>
      </c>
      <c r="F21" s="30">
        <f>F19+G19</f>
        <v>45046</v>
      </c>
      <c r="G21" s="31">
        <v>10</v>
      </c>
      <c r="H21" s="25"/>
      <c r="I21" s="35" t="str">
        <f t="shared" ca="1" si="10"/>
        <v/>
      </c>
      <c r="J21" s="35" t="str">
        <f t="shared" ca="1" si="6"/>
        <v/>
      </c>
      <c r="K21" s="35" t="str">
        <f t="shared" ca="1" si="6"/>
        <v/>
      </c>
      <c r="L21" s="35" t="str">
        <f t="shared" ca="1" si="6"/>
        <v/>
      </c>
      <c r="M21" s="35" t="str">
        <f t="shared" ca="1" si="6"/>
        <v/>
      </c>
      <c r="N21" s="35" t="str">
        <f t="shared" ca="1" si="6"/>
        <v/>
      </c>
      <c r="O21" s="35" t="str">
        <f t="shared" ca="1" si="6"/>
        <v/>
      </c>
      <c r="P21" s="35" t="str">
        <f t="shared" ca="1" si="6"/>
        <v/>
      </c>
      <c r="Q21" s="35" t="str">
        <f t="shared" ca="1" si="6"/>
        <v/>
      </c>
      <c r="R21" s="35" t="str">
        <f t="shared" ca="1" si="6"/>
        <v/>
      </c>
      <c r="S21" s="35" t="str">
        <f t="shared" ca="1" si="6"/>
        <v/>
      </c>
      <c r="T21" s="35" t="str">
        <f t="shared" ca="1" si="6"/>
        <v/>
      </c>
      <c r="U21" s="35" t="str">
        <f t="shared" ca="1" si="6"/>
        <v/>
      </c>
      <c r="V21" s="35" t="str">
        <f t="shared" ca="1" si="6"/>
        <v/>
      </c>
      <c r="W21" s="35" t="str">
        <f t="shared" ca="1" si="6"/>
        <v/>
      </c>
      <c r="X21" s="35" t="str">
        <f t="shared" ca="1" si="6"/>
        <v/>
      </c>
      <c r="Y21" s="35" t="str">
        <f t="shared" ca="1" si="7"/>
        <v/>
      </c>
      <c r="Z21" s="35" t="str">
        <f t="shared" ca="1" si="7"/>
        <v/>
      </c>
      <c r="AA21" s="35" t="str">
        <f t="shared" ca="1" si="7"/>
        <v/>
      </c>
      <c r="AB21" s="35" t="str">
        <f t="shared" ca="1" si="7"/>
        <v/>
      </c>
      <c r="AC21" s="35" t="str">
        <f t="shared" ca="1" si="7"/>
        <v/>
      </c>
      <c r="AD21" s="35" t="str">
        <f t="shared" ca="1" si="7"/>
        <v/>
      </c>
      <c r="AE21" s="35" t="str">
        <f t="shared" ca="1" si="7"/>
        <v/>
      </c>
      <c r="AF21" s="35" t="str">
        <f t="shared" ca="1" si="7"/>
        <v/>
      </c>
      <c r="AG21" s="35" t="str">
        <f t="shared" ca="1" si="7"/>
        <v/>
      </c>
      <c r="AH21" s="35" t="str">
        <f t="shared" ca="1" si="7"/>
        <v/>
      </c>
      <c r="AI21" s="35" t="str">
        <f t="shared" ca="1" si="7"/>
        <v/>
      </c>
      <c r="AJ21" s="35" t="str">
        <f t="shared" ca="1" si="7"/>
        <v/>
      </c>
      <c r="AK21" s="35" t="str">
        <f t="shared" ca="1" si="7"/>
        <v/>
      </c>
      <c r="AL21" s="35" t="str">
        <f t="shared" ca="1" si="7"/>
        <v/>
      </c>
      <c r="AM21" s="35" t="str">
        <f t="shared" ca="1" si="7"/>
        <v/>
      </c>
      <c r="AN21" s="35" t="str">
        <f t="shared" ca="1" si="7"/>
        <v/>
      </c>
      <c r="AO21" s="35" t="str">
        <f t="shared" ca="1" si="8"/>
        <v/>
      </c>
      <c r="AP21" s="35" t="str">
        <f t="shared" ca="1" si="8"/>
        <v/>
      </c>
      <c r="AQ21" s="35" t="str">
        <f t="shared" ca="1" si="8"/>
        <v/>
      </c>
      <c r="AR21" s="35" t="str">
        <f t="shared" ca="1" si="8"/>
        <v/>
      </c>
      <c r="AS21" s="35" t="str">
        <f t="shared" ca="1" si="8"/>
        <v/>
      </c>
      <c r="AT21" s="35" t="str">
        <f t="shared" ca="1" si="8"/>
        <v/>
      </c>
      <c r="AU21" s="35" t="str">
        <f t="shared" ca="1" si="8"/>
        <v/>
      </c>
      <c r="AV21" s="35" t="str">
        <f t="shared" ca="1" si="8"/>
        <v/>
      </c>
      <c r="AW21" s="35" t="str">
        <f t="shared" ca="1" si="8"/>
        <v/>
      </c>
      <c r="AX21" s="35" t="str">
        <f t="shared" ca="1" si="8"/>
        <v/>
      </c>
      <c r="AY21" s="35" t="str">
        <f t="shared" ca="1" si="8"/>
        <v/>
      </c>
      <c r="AZ21" s="35" t="str">
        <f t="shared" ca="1" si="8"/>
        <v/>
      </c>
      <c r="BA21" s="35" t="str">
        <f t="shared" ca="1" si="8"/>
        <v/>
      </c>
      <c r="BB21" s="35" t="str">
        <f t="shared" ca="1" si="8"/>
        <v/>
      </c>
      <c r="BC21" s="35" t="str">
        <f t="shared" ca="1" si="8"/>
        <v/>
      </c>
      <c r="BD21" s="35" t="str">
        <f t="shared" ca="1" si="8"/>
        <v/>
      </c>
      <c r="BE21" s="35" t="str">
        <f t="shared" ca="1" si="9"/>
        <v/>
      </c>
      <c r="BF21" s="35" t="str">
        <f t="shared" ca="1" si="9"/>
        <v/>
      </c>
      <c r="BG21" s="35" t="str">
        <f t="shared" ca="1" si="9"/>
        <v/>
      </c>
      <c r="BH21" s="35" t="str">
        <f t="shared" ca="1" si="9"/>
        <v/>
      </c>
      <c r="BI21" s="35" t="str">
        <f t="shared" ca="1" si="9"/>
        <v/>
      </c>
      <c r="BJ21" s="35" t="str">
        <f t="shared" ca="1" si="9"/>
        <v/>
      </c>
      <c r="BK21" s="35" t="str">
        <f t="shared" ca="1" si="9"/>
        <v/>
      </c>
      <c r="BL21" s="35" t="str">
        <f t="shared" ca="1" si="9"/>
        <v/>
      </c>
    </row>
    <row r="22" spans="1:64" s="2" customFormat="1" ht="30" customHeight="1" x14ac:dyDescent="0.25">
      <c r="A22" s="14"/>
      <c r="B22" s="48" t="s">
        <v>43</v>
      </c>
      <c r="C22" s="32" t="s">
        <v>18</v>
      </c>
      <c r="D22" s="32" t="s">
        <v>67</v>
      </c>
      <c r="E22" s="29">
        <v>1</v>
      </c>
      <c r="F22" s="30">
        <f>F21+G21</f>
        <v>45056</v>
      </c>
      <c r="G22" s="31">
        <v>10</v>
      </c>
      <c r="H22" s="25"/>
      <c r="I22" s="35" t="str">
        <f t="shared" ca="1" si="10"/>
        <v/>
      </c>
      <c r="J22" s="35" t="str">
        <f t="shared" ca="1" si="6"/>
        <v/>
      </c>
      <c r="K22" s="35" t="str">
        <f t="shared" ca="1" si="6"/>
        <v/>
      </c>
      <c r="L22" s="35" t="str">
        <f t="shared" ca="1" si="6"/>
        <v/>
      </c>
      <c r="M22" s="35" t="str">
        <f t="shared" ca="1" si="6"/>
        <v/>
      </c>
      <c r="N22" s="35" t="str">
        <f t="shared" ca="1" si="6"/>
        <v/>
      </c>
      <c r="O22" s="35" t="str">
        <f t="shared" ca="1" si="6"/>
        <v/>
      </c>
      <c r="P22" s="35" t="str">
        <f t="shared" ca="1" si="6"/>
        <v/>
      </c>
      <c r="Q22" s="35" t="str">
        <f t="shared" ca="1" si="6"/>
        <v/>
      </c>
      <c r="R22" s="35" t="str">
        <f t="shared" ca="1" si="6"/>
        <v/>
      </c>
      <c r="S22" s="35" t="str">
        <f t="shared" ca="1" si="6"/>
        <v/>
      </c>
      <c r="T22" s="35" t="str">
        <f t="shared" ca="1" si="6"/>
        <v/>
      </c>
      <c r="U22" s="35" t="str">
        <f t="shared" ca="1" si="6"/>
        <v/>
      </c>
      <c r="V22" s="35" t="str">
        <f t="shared" ca="1" si="6"/>
        <v/>
      </c>
      <c r="W22" s="35" t="str">
        <f t="shared" ca="1" si="6"/>
        <v/>
      </c>
      <c r="X22" s="35" t="str">
        <f t="shared" ca="1" si="6"/>
        <v/>
      </c>
      <c r="Y22" s="35" t="str">
        <f t="shared" ca="1" si="7"/>
        <v/>
      </c>
      <c r="Z22" s="35" t="str">
        <f t="shared" ca="1" si="7"/>
        <v/>
      </c>
      <c r="AA22" s="35" t="str">
        <f t="shared" ca="1" si="7"/>
        <v/>
      </c>
      <c r="AB22" s="35" t="str">
        <f t="shared" ca="1" si="7"/>
        <v/>
      </c>
      <c r="AC22" s="35" t="str">
        <f t="shared" ca="1" si="7"/>
        <v/>
      </c>
      <c r="AD22" s="35" t="str">
        <f t="shared" ca="1" si="7"/>
        <v/>
      </c>
      <c r="AE22" s="35" t="str">
        <f t="shared" ca="1" si="7"/>
        <v/>
      </c>
      <c r="AF22" s="35" t="str">
        <f t="shared" ca="1" si="7"/>
        <v/>
      </c>
      <c r="AG22" s="35" t="str">
        <f t="shared" ca="1" si="7"/>
        <v/>
      </c>
      <c r="AH22" s="35" t="str">
        <f t="shared" ca="1" si="7"/>
        <v/>
      </c>
      <c r="AI22" s="35" t="str">
        <f t="shared" ca="1" si="7"/>
        <v/>
      </c>
      <c r="AJ22" s="35" t="str">
        <f t="shared" ca="1" si="7"/>
        <v/>
      </c>
      <c r="AK22" s="35" t="str">
        <f t="shared" ca="1" si="7"/>
        <v/>
      </c>
      <c r="AL22" s="35" t="str">
        <f t="shared" ca="1" si="7"/>
        <v/>
      </c>
      <c r="AM22" s="35" t="str">
        <f t="shared" ca="1" si="7"/>
        <v/>
      </c>
      <c r="AN22" s="35" t="str">
        <f t="shared" ca="1" si="7"/>
        <v/>
      </c>
      <c r="AO22" s="35" t="str">
        <f t="shared" ca="1" si="8"/>
        <v/>
      </c>
      <c r="AP22" s="35" t="str">
        <f t="shared" ca="1" si="8"/>
        <v/>
      </c>
      <c r="AQ22" s="35" t="str">
        <f t="shared" ca="1" si="8"/>
        <v/>
      </c>
      <c r="AR22" s="35" t="str">
        <f t="shared" ca="1" si="8"/>
        <v/>
      </c>
      <c r="AS22" s="35" t="str">
        <f t="shared" ca="1" si="8"/>
        <v/>
      </c>
      <c r="AT22" s="35" t="str">
        <f t="shared" ca="1" si="8"/>
        <v/>
      </c>
      <c r="AU22" s="35" t="str">
        <f t="shared" ca="1" si="8"/>
        <v/>
      </c>
      <c r="AV22" s="35" t="str">
        <f t="shared" ca="1" si="8"/>
        <v/>
      </c>
      <c r="AW22" s="35" t="str">
        <f t="shared" ca="1" si="8"/>
        <v/>
      </c>
      <c r="AX22" s="35" t="str">
        <f t="shared" ca="1" si="8"/>
        <v/>
      </c>
      <c r="AY22" s="35" t="str">
        <f t="shared" ca="1" si="8"/>
        <v/>
      </c>
      <c r="AZ22" s="35" t="str">
        <f t="shared" ca="1" si="8"/>
        <v/>
      </c>
      <c r="BA22" s="35" t="str">
        <f t="shared" ca="1" si="8"/>
        <v/>
      </c>
      <c r="BB22" s="35" t="str">
        <f t="shared" ca="1" si="8"/>
        <v/>
      </c>
      <c r="BC22" s="35" t="str">
        <f t="shared" ca="1" si="8"/>
        <v/>
      </c>
      <c r="BD22" s="35" t="str">
        <f t="shared" ca="1" si="8"/>
        <v/>
      </c>
      <c r="BE22" s="35" t="str">
        <f t="shared" ca="1" si="9"/>
        <v/>
      </c>
      <c r="BF22" s="35" t="str">
        <f t="shared" ca="1" si="9"/>
        <v/>
      </c>
      <c r="BG22" s="35" t="str">
        <f t="shared" ca="1" si="9"/>
        <v/>
      </c>
      <c r="BH22" s="35" t="str">
        <f t="shared" ca="1" si="9"/>
        <v/>
      </c>
      <c r="BI22" s="35" t="str">
        <f t="shared" ca="1" si="9"/>
        <v/>
      </c>
      <c r="BJ22" s="35" t="str">
        <f t="shared" ca="1" si="9"/>
        <v/>
      </c>
      <c r="BK22" s="35" t="str">
        <f t="shared" ca="1" si="9"/>
        <v/>
      </c>
      <c r="BL22" s="35" t="str">
        <f t="shared" ca="1" si="9"/>
        <v/>
      </c>
    </row>
    <row r="23" spans="1:64" s="2" customFormat="1" ht="30" customHeight="1" x14ac:dyDescent="0.25">
      <c r="A23" s="14"/>
      <c r="B23" s="48" t="s">
        <v>44</v>
      </c>
      <c r="C23" s="32" t="s">
        <v>18</v>
      </c>
      <c r="D23" s="32" t="s">
        <v>64</v>
      </c>
      <c r="E23" s="29">
        <v>1</v>
      </c>
      <c r="F23" s="30">
        <f>F22+G22</f>
        <v>45066</v>
      </c>
      <c r="G23" s="31">
        <v>10</v>
      </c>
      <c r="H23" s="25"/>
      <c r="I23" s="35" t="str">
        <f t="shared" ca="1" si="10"/>
        <v/>
      </c>
      <c r="J23" s="35" t="str">
        <f t="shared" ca="1" si="6"/>
        <v/>
      </c>
      <c r="K23" s="35" t="str">
        <f t="shared" ca="1" si="6"/>
        <v/>
      </c>
      <c r="L23" s="35" t="str">
        <f t="shared" ca="1" si="6"/>
        <v/>
      </c>
      <c r="M23" s="35" t="str">
        <f t="shared" ca="1" si="6"/>
        <v/>
      </c>
      <c r="N23" s="35" t="str">
        <f t="shared" ca="1" si="6"/>
        <v/>
      </c>
      <c r="O23" s="35" t="str">
        <f t="shared" ca="1" si="6"/>
        <v/>
      </c>
      <c r="P23" s="35" t="str">
        <f t="shared" ca="1" si="6"/>
        <v/>
      </c>
      <c r="Q23" s="35" t="str">
        <f t="shared" ca="1" si="6"/>
        <v/>
      </c>
      <c r="R23" s="35" t="str">
        <f t="shared" ca="1" si="6"/>
        <v/>
      </c>
      <c r="S23" s="35" t="str">
        <f t="shared" ca="1" si="6"/>
        <v/>
      </c>
      <c r="T23" s="35" t="str">
        <f t="shared" ca="1" si="6"/>
        <v/>
      </c>
      <c r="U23" s="35" t="str">
        <f t="shared" ca="1" si="6"/>
        <v/>
      </c>
      <c r="V23" s="35" t="str">
        <f t="shared" ca="1" si="6"/>
        <v/>
      </c>
      <c r="W23" s="35" t="str">
        <f t="shared" ca="1" si="6"/>
        <v/>
      </c>
      <c r="X23" s="35" t="str">
        <f t="shared" ca="1" si="6"/>
        <v/>
      </c>
      <c r="Y23" s="35" t="str">
        <f t="shared" ca="1" si="7"/>
        <v/>
      </c>
      <c r="Z23" s="35" t="str">
        <f t="shared" ca="1" si="7"/>
        <v/>
      </c>
      <c r="AA23" s="35" t="str">
        <f t="shared" ca="1" si="7"/>
        <v/>
      </c>
      <c r="AB23" s="35" t="str">
        <f t="shared" ca="1" si="7"/>
        <v/>
      </c>
      <c r="AC23" s="35" t="str">
        <f t="shared" ca="1" si="7"/>
        <v/>
      </c>
      <c r="AD23" s="35" t="str">
        <f t="shared" ca="1" si="7"/>
        <v/>
      </c>
      <c r="AE23" s="35" t="str">
        <f t="shared" ca="1" si="7"/>
        <v/>
      </c>
      <c r="AF23" s="35" t="str">
        <f t="shared" ca="1" si="7"/>
        <v/>
      </c>
      <c r="AG23" s="35" t="str">
        <f t="shared" ca="1" si="7"/>
        <v/>
      </c>
      <c r="AH23" s="35" t="str">
        <f t="shared" ca="1" si="7"/>
        <v/>
      </c>
      <c r="AI23" s="35" t="str">
        <f t="shared" ca="1" si="7"/>
        <v/>
      </c>
      <c r="AJ23" s="35" t="str">
        <f t="shared" ca="1" si="7"/>
        <v/>
      </c>
      <c r="AK23" s="35" t="str">
        <f t="shared" ca="1" si="7"/>
        <v/>
      </c>
      <c r="AL23" s="35" t="str">
        <f t="shared" ca="1" si="7"/>
        <v/>
      </c>
      <c r="AM23" s="35" t="str">
        <f t="shared" ca="1" si="7"/>
        <v/>
      </c>
      <c r="AN23" s="35" t="str">
        <f t="shared" ref="AN23:BC36" ca="1" si="11">IF(AND($C23="Objetivo",AN$5&gt;=$F23,AN$5&lt;=$F23+$G23-1),2,IF(AND($C23="Hito",AN$5&gt;=$F23,AN$5&lt;=$F23+$G23-1),1,""))</f>
        <v/>
      </c>
      <c r="AO23" s="35" t="str">
        <f t="shared" ca="1" si="8"/>
        <v/>
      </c>
      <c r="AP23" s="35" t="str">
        <f t="shared" ca="1" si="8"/>
        <v/>
      </c>
      <c r="AQ23" s="35" t="str">
        <f t="shared" ca="1" si="8"/>
        <v/>
      </c>
      <c r="AR23" s="35" t="str">
        <f t="shared" ca="1" si="8"/>
        <v/>
      </c>
      <c r="AS23" s="35" t="str">
        <f t="shared" ca="1" si="8"/>
        <v/>
      </c>
      <c r="AT23" s="35" t="str">
        <f t="shared" ca="1" si="8"/>
        <v/>
      </c>
      <c r="AU23" s="35" t="str">
        <f t="shared" ca="1" si="8"/>
        <v/>
      </c>
      <c r="AV23" s="35" t="str">
        <f t="shared" ca="1" si="8"/>
        <v/>
      </c>
      <c r="AW23" s="35" t="str">
        <f t="shared" ca="1" si="8"/>
        <v/>
      </c>
      <c r="AX23" s="35" t="str">
        <f t="shared" ca="1" si="8"/>
        <v/>
      </c>
      <c r="AY23" s="35" t="str">
        <f t="shared" ca="1" si="8"/>
        <v/>
      </c>
      <c r="AZ23" s="35" t="str">
        <f t="shared" ca="1" si="8"/>
        <v/>
      </c>
      <c r="BA23" s="35" t="str">
        <f t="shared" ca="1" si="8"/>
        <v/>
      </c>
      <c r="BB23" s="35" t="str">
        <f t="shared" ca="1" si="8"/>
        <v/>
      </c>
      <c r="BC23" s="35" t="str">
        <f t="shared" ca="1" si="8"/>
        <v/>
      </c>
      <c r="BD23" s="35" t="str">
        <f t="shared" ref="BD23:BL36" ca="1" si="12">IF(AND($C23="Objetivo",BD$5&gt;=$F23,BD$5&lt;=$F23+$G23-1),2,IF(AND($C23="Hito",BD$5&gt;=$F23,BD$5&lt;=$F23+$G23-1),1,""))</f>
        <v/>
      </c>
      <c r="BE23" s="35" t="str">
        <f t="shared" ca="1" si="9"/>
        <v/>
      </c>
      <c r="BF23" s="35" t="str">
        <f t="shared" ca="1" si="9"/>
        <v/>
      </c>
      <c r="BG23" s="35" t="str">
        <f t="shared" ca="1" si="9"/>
        <v/>
      </c>
      <c r="BH23" s="35" t="str">
        <f t="shared" ca="1" si="9"/>
        <v/>
      </c>
      <c r="BI23" s="35" t="str">
        <f t="shared" ca="1" si="9"/>
        <v/>
      </c>
      <c r="BJ23" s="35" t="str">
        <f t="shared" ca="1" si="9"/>
        <v/>
      </c>
      <c r="BK23" s="35" t="str">
        <f t="shared" ca="1" si="9"/>
        <v/>
      </c>
      <c r="BL23" s="35" t="str">
        <f t="shared" ca="1" si="9"/>
        <v/>
      </c>
    </row>
    <row r="24" spans="1:64" s="2" customFormat="1" ht="30" customHeight="1" x14ac:dyDescent="0.25">
      <c r="A24" s="14"/>
      <c r="B24" s="48" t="s">
        <v>50</v>
      </c>
      <c r="C24" s="32" t="s">
        <v>56</v>
      </c>
      <c r="D24" s="32" t="s">
        <v>66</v>
      </c>
      <c r="E24" s="29">
        <v>1</v>
      </c>
      <c r="F24" s="50">
        <f>F23+G23</f>
        <v>45076</v>
      </c>
      <c r="G24" s="31">
        <v>1</v>
      </c>
      <c r="H24" s="2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row>
    <row r="25" spans="1:64" s="2" customFormat="1" ht="30" customHeight="1" x14ac:dyDescent="0.25">
      <c r="A25" s="14"/>
      <c r="B25" s="49" t="s">
        <v>45</v>
      </c>
      <c r="C25" s="32"/>
      <c r="D25" s="32"/>
      <c r="E25" s="29"/>
      <c r="F25"/>
      <c r="G25"/>
      <c r="H25" s="25"/>
      <c r="I25" s="35" t="str">
        <f t="shared" ref="I25:X36" ca="1" si="13">IF(AND($C25="Objetivo",I$5&gt;=$F25,I$5&lt;=$F25+$G25-1),2,IF(AND($C25="Hito",I$5&gt;=$F25,I$5&lt;=$F25+$G25-1),1,""))</f>
        <v/>
      </c>
      <c r="J25" s="35" t="str">
        <f t="shared" ca="1" si="13"/>
        <v/>
      </c>
      <c r="K25" s="35" t="str">
        <f t="shared" ca="1" si="13"/>
        <v/>
      </c>
      <c r="L25" s="35" t="str">
        <f t="shared" ca="1" si="13"/>
        <v/>
      </c>
      <c r="M25" s="35" t="str">
        <f t="shared" ca="1" si="13"/>
        <v/>
      </c>
      <c r="N25" s="35" t="str">
        <f t="shared" ca="1" si="13"/>
        <v/>
      </c>
      <c r="O25" s="35" t="str">
        <f t="shared" ca="1" si="13"/>
        <v/>
      </c>
      <c r="P25" s="35" t="str">
        <f t="shared" ca="1" si="13"/>
        <v/>
      </c>
      <c r="Q25" s="35" t="str">
        <f t="shared" ca="1" si="13"/>
        <v/>
      </c>
      <c r="R25" s="35" t="str">
        <f t="shared" ca="1" si="13"/>
        <v/>
      </c>
      <c r="S25" s="35" t="str">
        <f t="shared" ca="1" si="13"/>
        <v/>
      </c>
      <c r="T25" s="35" t="str">
        <f t="shared" ca="1" si="13"/>
        <v/>
      </c>
      <c r="U25" s="35" t="str">
        <f t="shared" ca="1" si="13"/>
        <v/>
      </c>
      <c r="V25" s="35" t="str">
        <f t="shared" ca="1" si="13"/>
        <v/>
      </c>
      <c r="W25" s="35" t="str">
        <f t="shared" ca="1" si="13"/>
        <v/>
      </c>
      <c r="X25" s="35" t="str">
        <f t="shared" ca="1" si="13"/>
        <v/>
      </c>
      <c r="Y25" s="35" t="str">
        <f t="shared" ref="Y25:AM36" ca="1" si="14">IF(AND($C25="Objetivo",Y$5&gt;=$F25,Y$5&lt;=$F25+$G25-1),2,IF(AND($C25="Hito",Y$5&gt;=$F25,Y$5&lt;=$F25+$G25-1),1,""))</f>
        <v/>
      </c>
      <c r="Z25" s="35" t="str">
        <f t="shared" ca="1" si="14"/>
        <v/>
      </c>
      <c r="AA25" s="35" t="str">
        <f t="shared" ca="1" si="14"/>
        <v/>
      </c>
      <c r="AB25" s="35" t="str">
        <f t="shared" ca="1" si="14"/>
        <v/>
      </c>
      <c r="AC25" s="35" t="str">
        <f t="shared" ca="1" si="14"/>
        <v/>
      </c>
      <c r="AD25" s="35" t="str">
        <f t="shared" ca="1" si="14"/>
        <v/>
      </c>
      <c r="AE25" s="35" t="str">
        <f t="shared" ca="1" si="14"/>
        <v/>
      </c>
      <c r="AF25" s="35" t="str">
        <f t="shared" ca="1" si="14"/>
        <v/>
      </c>
      <c r="AG25" s="35" t="str">
        <f t="shared" ca="1" si="14"/>
        <v/>
      </c>
      <c r="AH25" s="35" t="str">
        <f t="shared" ca="1" si="14"/>
        <v/>
      </c>
      <c r="AI25" s="35" t="str">
        <f t="shared" ca="1" si="14"/>
        <v/>
      </c>
      <c r="AJ25" s="35" t="str">
        <f t="shared" ca="1" si="14"/>
        <v/>
      </c>
      <c r="AK25" s="35" t="str">
        <f t="shared" ca="1" si="14"/>
        <v/>
      </c>
      <c r="AL25" s="35" t="str">
        <f t="shared" ca="1" si="14"/>
        <v/>
      </c>
      <c r="AM25" s="35" t="str">
        <f t="shared" ca="1" si="14"/>
        <v/>
      </c>
      <c r="AN25" s="35" t="str">
        <f t="shared" ca="1" si="11"/>
        <v/>
      </c>
      <c r="AO25" s="35" t="str">
        <f t="shared" ca="1" si="11"/>
        <v/>
      </c>
      <c r="AP25" s="35" t="str">
        <f t="shared" ca="1" si="11"/>
        <v/>
      </c>
      <c r="AQ25" s="35" t="str">
        <f t="shared" ca="1" si="11"/>
        <v/>
      </c>
      <c r="AR25" s="35" t="str">
        <f t="shared" ca="1" si="11"/>
        <v/>
      </c>
      <c r="AS25" s="35" t="str">
        <f t="shared" ca="1" si="11"/>
        <v/>
      </c>
      <c r="AT25" s="35" t="str">
        <f t="shared" ca="1" si="11"/>
        <v/>
      </c>
      <c r="AU25" s="35" t="str">
        <f t="shared" ca="1" si="11"/>
        <v/>
      </c>
      <c r="AV25" s="35" t="str">
        <f t="shared" ca="1" si="11"/>
        <v/>
      </c>
      <c r="AW25" s="35" t="str">
        <f t="shared" ca="1" si="11"/>
        <v/>
      </c>
      <c r="AX25" s="35" t="str">
        <f t="shared" ca="1" si="11"/>
        <v/>
      </c>
      <c r="AY25" s="35" t="str">
        <f t="shared" ca="1" si="11"/>
        <v/>
      </c>
      <c r="AZ25" s="35" t="str">
        <f t="shared" ca="1" si="11"/>
        <v/>
      </c>
      <c r="BA25" s="35" t="str">
        <f t="shared" ca="1" si="11"/>
        <v/>
      </c>
      <c r="BB25" s="35" t="str">
        <f t="shared" ca="1" si="11"/>
        <v/>
      </c>
      <c r="BC25" s="35" t="str">
        <f t="shared" ca="1" si="11"/>
        <v/>
      </c>
      <c r="BD25" s="35" t="str">
        <f t="shared" ca="1" si="12"/>
        <v/>
      </c>
      <c r="BE25" s="35" t="str">
        <f t="shared" ca="1" si="12"/>
        <v/>
      </c>
      <c r="BF25" s="35" t="str">
        <f t="shared" ca="1" si="12"/>
        <v/>
      </c>
      <c r="BG25" s="35" t="str">
        <f t="shared" ca="1" si="12"/>
        <v/>
      </c>
      <c r="BH25" s="35" t="str">
        <f t="shared" ca="1" si="12"/>
        <v/>
      </c>
      <c r="BI25" s="35" t="str">
        <f t="shared" ca="1" si="12"/>
        <v/>
      </c>
      <c r="BJ25" s="35" t="str">
        <f t="shared" ca="1" si="12"/>
        <v/>
      </c>
      <c r="BK25" s="35" t="str">
        <f t="shared" ca="1" si="12"/>
        <v/>
      </c>
      <c r="BL25" s="35" t="str">
        <f t="shared" ca="1" si="12"/>
        <v/>
      </c>
    </row>
    <row r="26" spans="1:64" s="2" customFormat="1" ht="30" customHeight="1" x14ac:dyDescent="0.25">
      <c r="A26" s="14"/>
      <c r="B26" s="48" t="s">
        <v>23</v>
      </c>
      <c r="C26" s="32" t="s">
        <v>18</v>
      </c>
      <c r="D26" s="32" t="s">
        <v>63</v>
      </c>
      <c r="E26" s="29">
        <v>1</v>
      </c>
      <c r="F26" s="30">
        <v>45077</v>
      </c>
      <c r="G26" s="31">
        <v>3</v>
      </c>
      <c r="H26" s="25"/>
      <c r="I26" s="35"/>
      <c r="J26" s="35"/>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row>
    <row r="27" spans="1:64" s="2" customFormat="1" ht="30" customHeight="1" x14ac:dyDescent="0.25">
      <c r="A27" s="14"/>
      <c r="B27" s="48" t="s">
        <v>46</v>
      </c>
      <c r="C27" s="32" t="s">
        <v>18</v>
      </c>
      <c r="D27" s="32" t="s">
        <v>64</v>
      </c>
      <c r="E27" s="29">
        <v>1</v>
      </c>
      <c r="F27" s="30">
        <f>F26+G26</f>
        <v>45080</v>
      </c>
      <c r="G27" s="31">
        <v>11</v>
      </c>
      <c r="H27" s="25"/>
      <c r="I27" s="35" t="str">
        <f t="shared" ca="1" si="13"/>
        <v/>
      </c>
      <c r="J27" s="35" t="str">
        <f t="shared" ca="1" si="13"/>
        <v/>
      </c>
      <c r="K27" s="35" t="str">
        <f t="shared" ca="1" si="13"/>
        <v/>
      </c>
      <c r="L27" s="35" t="str">
        <f t="shared" ca="1" si="13"/>
        <v/>
      </c>
      <c r="M27" s="35" t="str">
        <f t="shared" ca="1" si="13"/>
        <v/>
      </c>
      <c r="N27" s="35" t="str">
        <f t="shared" ca="1" si="13"/>
        <v/>
      </c>
      <c r="O27" s="35" t="str">
        <f t="shared" ca="1" si="13"/>
        <v/>
      </c>
      <c r="P27" s="35" t="str">
        <f t="shared" ca="1" si="13"/>
        <v/>
      </c>
      <c r="Q27" s="35" t="str">
        <f t="shared" ca="1" si="13"/>
        <v/>
      </c>
      <c r="R27" s="35" t="str">
        <f t="shared" ca="1" si="13"/>
        <v/>
      </c>
      <c r="S27" s="35" t="str">
        <f t="shared" ca="1" si="13"/>
        <v/>
      </c>
      <c r="T27" s="35" t="str">
        <f t="shared" ca="1" si="13"/>
        <v/>
      </c>
      <c r="U27" s="35" t="str">
        <f t="shared" ca="1" si="13"/>
        <v/>
      </c>
      <c r="V27" s="35" t="str">
        <f t="shared" ca="1" si="13"/>
        <v/>
      </c>
      <c r="W27" s="35" t="str">
        <f t="shared" ca="1" si="13"/>
        <v/>
      </c>
      <c r="X27" s="35" t="str">
        <f t="shared" ca="1" si="13"/>
        <v/>
      </c>
      <c r="Y27" s="35" t="str">
        <f t="shared" ca="1" si="14"/>
        <v/>
      </c>
      <c r="Z27" s="35" t="str">
        <f t="shared" ca="1" si="14"/>
        <v/>
      </c>
      <c r="AA27" s="35" t="str">
        <f t="shared" ca="1" si="14"/>
        <v/>
      </c>
      <c r="AB27" s="35" t="str">
        <f t="shared" ca="1" si="14"/>
        <v/>
      </c>
      <c r="AC27" s="35" t="str">
        <f t="shared" ca="1" si="14"/>
        <v/>
      </c>
      <c r="AD27" s="35" t="str">
        <f t="shared" ca="1" si="14"/>
        <v/>
      </c>
      <c r="AE27" s="35" t="str">
        <f t="shared" ca="1" si="14"/>
        <v/>
      </c>
      <c r="AF27" s="35" t="str">
        <f t="shared" ca="1" si="14"/>
        <v/>
      </c>
      <c r="AG27" s="35" t="str">
        <f t="shared" ca="1" si="14"/>
        <v/>
      </c>
      <c r="AH27" s="35" t="str">
        <f t="shared" ca="1" si="14"/>
        <v/>
      </c>
      <c r="AI27" s="35" t="str">
        <f t="shared" ca="1" si="14"/>
        <v/>
      </c>
      <c r="AJ27" s="35" t="str">
        <f t="shared" ca="1" si="14"/>
        <v/>
      </c>
      <c r="AK27" s="35" t="str">
        <f t="shared" ca="1" si="14"/>
        <v/>
      </c>
      <c r="AL27" s="35" t="str">
        <f t="shared" ca="1" si="14"/>
        <v/>
      </c>
      <c r="AM27" s="35" t="str">
        <f t="shared" ca="1" si="14"/>
        <v/>
      </c>
      <c r="AN27" s="35" t="str">
        <f t="shared" ca="1" si="11"/>
        <v/>
      </c>
      <c r="AO27" s="35" t="str">
        <f t="shared" ca="1" si="11"/>
        <v/>
      </c>
      <c r="AP27" s="35" t="str">
        <f t="shared" ca="1" si="11"/>
        <v/>
      </c>
      <c r="AQ27" s="35" t="str">
        <f t="shared" ca="1" si="11"/>
        <v/>
      </c>
      <c r="AR27" s="35" t="str">
        <f t="shared" ca="1" si="11"/>
        <v/>
      </c>
      <c r="AS27" s="35" t="str">
        <f t="shared" ca="1" si="11"/>
        <v/>
      </c>
      <c r="AT27" s="35" t="str">
        <f t="shared" ca="1" si="11"/>
        <v/>
      </c>
      <c r="AU27" s="35" t="str">
        <f t="shared" ca="1" si="11"/>
        <v/>
      </c>
      <c r="AV27" s="35" t="str">
        <f t="shared" ca="1" si="11"/>
        <v/>
      </c>
      <c r="AW27" s="35" t="str">
        <f t="shared" ca="1" si="11"/>
        <v/>
      </c>
      <c r="AX27" s="35" t="str">
        <f t="shared" ca="1" si="11"/>
        <v/>
      </c>
      <c r="AY27" s="35" t="str">
        <f t="shared" ca="1" si="11"/>
        <v/>
      </c>
      <c r="AZ27" s="35" t="str">
        <f t="shared" ca="1" si="11"/>
        <v/>
      </c>
      <c r="BA27" s="35" t="str">
        <f t="shared" ca="1" si="11"/>
        <v/>
      </c>
      <c r="BB27" s="35" t="str">
        <f t="shared" ca="1" si="11"/>
        <v/>
      </c>
      <c r="BC27" s="35" t="str">
        <f t="shared" ca="1" si="11"/>
        <v/>
      </c>
      <c r="BD27" s="35" t="str">
        <f t="shared" ca="1" si="12"/>
        <v/>
      </c>
      <c r="BE27" s="35" t="str">
        <f t="shared" ca="1" si="12"/>
        <v/>
      </c>
      <c r="BF27" s="35" t="str">
        <f t="shared" ca="1" si="12"/>
        <v/>
      </c>
      <c r="BG27" s="35" t="str">
        <f t="shared" ca="1" si="12"/>
        <v/>
      </c>
      <c r="BH27" s="35" t="str">
        <f t="shared" ca="1" si="12"/>
        <v/>
      </c>
      <c r="BI27" s="35" t="str">
        <f t="shared" ca="1" si="12"/>
        <v/>
      </c>
      <c r="BJ27" s="35" t="str">
        <f t="shared" ca="1" si="12"/>
        <v/>
      </c>
      <c r="BK27" s="35" t="str">
        <f t="shared" ca="1" si="12"/>
        <v/>
      </c>
      <c r="BL27" s="35" t="str">
        <f t="shared" ca="1" si="12"/>
        <v/>
      </c>
    </row>
    <row r="28" spans="1:64" s="2" customFormat="1" ht="30" customHeight="1" x14ac:dyDescent="0.25">
      <c r="A28" s="14"/>
      <c r="B28" s="48" t="s">
        <v>47</v>
      </c>
      <c r="C28" s="32" t="s">
        <v>18</v>
      </c>
      <c r="D28" s="32" t="s">
        <v>65</v>
      </c>
      <c r="E28" s="29">
        <v>1</v>
      </c>
      <c r="F28" s="30">
        <f>F27+G27</f>
        <v>45091</v>
      </c>
      <c r="G28" s="31">
        <v>10</v>
      </c>
      <c r="H28" s="25"/>
      <c r="I28" s="35" t="str">
        <f t="shared" ca="1" si="13"/>
        <v/>
      </c>
      <c r="J28" s="35" t="str">
        <f t="shared" ca="1" si="13"/>
        <v/>
      </c>
      <c r="K28" s="35" t="str">
        <f t="shared" ca="1" si="13"/>
        <v/>
      </c>
      <c r="L28" s="35" t="str">
        <f t="shared" ca="1" si="13"/>
        <v/>
      </c>
      <c r="M28" s="35" t="str">
        <f t="shared" ca="1" si="13"/>
        <v/>
      </c>
      <c r="N28" s="35" t="str">
        <f t="shared" ca="1" si="13"/>
        <v/>
      </c>
      <c r="O28" s="35" t="str">
        <f t="shared" ca="1" si="13"/>
        <v/>
      </c>
      <c r="P28" s="35" t="str">
        <f t="shared" ca="1" si="13"/>
        <v/>
      </c>
      <c r="Q28" s="35" t="str">
        <f t="shared" ca="1" si="13"/>
        <v/>
      </c>
      <c r="R28" s="35" t="str">
        <f t="shared" ca="1" si="13"/>
        <v/>
      </c>
      <c r="S28" s="35" t="str">
        <f t="shared" ca="1" si="13"/>
        <v/>
      </c>
      <c r="T28" s="35" t="str">
        <f t="shared" ca="1" si="13"/>
        <v/>
      </c>
      <c r="U28" s="35" t="str">
        <f t="shared" ca="1" si="13"/>
        <v/>
      </c>
      <c r="V28" s="35" t="str">
        <f t="shared" ca="1" si="13"/>
        <v/>
      </c>
      <c r="W28" s="35" t="str">
        <f t="shared" ca="1" si="13"/>
        <v/>
      </c>
      <c r="X28" s="35" t="str">
        <f t="shared" ca="1" si="13"/>
        <v/>
      </c>
      <c r="Y28" s="35" t="str">
        <f t="shared" ca="1" si="14"/>
        <v/>
      </c>
      <c r="Z28" s="35" t="str">
        <f t="shared" ca="1" si="14"/>
        <v/>
      </c>
      <c r="AA28" s="35" t="str">
        <f t="shared" ca="1" si="14"/>
        <v/>
      </c>
      <c r="AB28" s="35" t="str">
        <f t="shared" ca="1" si="14"/>
        <v/>
      </c>
      <c r="AC28" s="35" t="str">
        <f t="shared" ca="1" si="14"/>
        <v/>
      </c>
      <c r="AD28" s="35" t="str">
        <f t="shared" ca="1" si="14"/>
        <v/>
      </c>
      <c r="AE28" s="35" t="str">
        <f t="shared" ca="1" si="14"/>
        <v/>
      </c>
      <c r="AF28" s="35" t="str">
        <f t="shared" ca="1" si="14"/>
        <v/>
      </c>
      <c r="AG28" s="35" t="str">
        <f t="shared" ca="1" si="14"/>
        <v/>
      </c>
      <c r="AH28" s="35" t="str">
        <f t="shared" ca="1" si="14"/>
        <v/>
      </c>
      <c r="AI28" s="35" t="str">
        <f t="shared" ca="1" si="14"/>
        <v/>
      </c>
      <c r="AJ28" s="35" t="str">
        <f t="shared" ca="1" si="14"/>
        <v/>
      </c>
      <c r="AK28" s="35" t="str">
        <f t="shared" ca="1" si="14"/>
        <v/>
      </c>
      <c r="AL28" s="35" t="str">
        <f t="shared" ca="1" si="14"/>
        <v/>
      </c>
      <c r="AM28" s="35" t="str">
        <f t="shared" ca="1" si="14"/>
        <v/>
      </c>
      <c r="AN28" s="35" t="str">
        <f t="shared" ca="1" si="11"/>
        <v/>
      </c>
      <c r="AO28" s="35" t="str">
        <f t="shared" ca="1" si="11"/>
        <v/>
      </c>
      <c r="AP28" s="35" t="str">
        <f t="shared" ca="1" si="11"/>
        <v/>
      </c>
      <c r="AQ28" s="35" t="str">
        <f t="shared" ca="1" si="11"/>
        <v/>
      </c>
      <c r="AR28" s="35" t="str">
        <f t="shared" ca="1" si="11"/>
        <v/>
      </c>
      <c r="AS28" s="35" t="str">
        <f t="shared" ca="1" si="11"/>
        <v/>
      </c>
      <c r="AT28" s="35" t="str">
        <f t="shared" ca="1" si="11"/>
        <v/>
      </c>
      <c r="AU28" s="35" t="str">
        <f t="shared" ca="1" si="11"/>
        <v/>
      </c>
      <c r="AV28" s="35" t="str">
        <f t="shared" ca="1" si="11"/>
        <v/>
      </c>
      <c r="AW28" s="35" t="str">
        <f t="shared" ca="1" si="11"/>
        <v/>
      </c>
      <c r="AX28" s="35" t="str">
        <f t="shared" ca="1" si="11"/>
        <v/>
      </c>
      <c r="AY28" s="35" t="str">
        <f t="shared" ca="1" si="11"/>
        <v/>
      </c>
      <c r="AZ28" s="35" t="str">
        <f t="shared" ca="1" si="11"/>
        <v/>
      </c>
      <c r="BA28" s="35" t="str">
        <f t="shared" ca="1" si="11"/>
        <v/>
      </c>
      <c r="BB28" s="35" t="str">
        <f t="shared" ca="1" si="11"/>
        <v/>
      </c>
      <c r="BC28" s="35" t="str">
        <f t="shared" ca="1" si="11"/>
        <v/>
      </c>
      <c r="BD28" s="35" t="str">
        <f t="shared" ca="1" si="12"/>
        <v/>
      </c>
      <c r="BE28" s="35" t="str">
        <f t="shared" ca="1" si="12"/>
        <v/>
      </c>
      <c r="BF28" s="35" t="str">
        <f t="shared" ca="1" si="12"/>
        <v/>
      </c>
      <c r="BG28" s="35" t="str">
        <f t="shared" ca="1" si="12"/>
        <v/>
      </c>
      <c r="BH28" s="35" t="str">
        <f t="shared" ca="1" si="12"/>
        <v/>
      </c>
      <c r="BI28" s="35" t="str">
        <f t="shared" ca="1" si="12"/>
        <v/>
      </c>
      <c r="BJ28" s="35" t="str">
        <f t="shared" ca="1" si="12"/>
        <v/>
      </c>
      <c r="BK28" s="35" t="str">
        <f t="shared" ca="1" si="12"/>
        <v/>
      </c>
      <c r="BL28" s="35" t="str">
        <f t="shared" ca="1" si="12"/>
        <v/>
      </c>
    </row>
    <row r="29" spans="1:64" s="2" customFormat="1" ht="30" customHeight="1" x14ac:dyDescent="0.25">
      <c r="A29" s="14"/>
      <c r="B29" s="48" t="s">
        <v>48</v>
      </c>
      <c r="C29" s="32" t="s">
        <v>14</v>
      </c>
      <c r="D29" s="32" t="s">
        <v>67</v>
      </c>
      <c r="E29" s="29">
        <v>1</v>
      </c>
      <c r="F29" s="30">
        <f>F28+G28</f>
        <v>45101</v>
      </c>
      <c r="G29" s="31">
        <v>10</v>
      </c>
      <c r="H29" s="25"/>
      <c r="I29" s="35" t="str">
        <f t="shared" ca="1" si="13"/>
        <v/>
      </c>
      <c r="J29" s="35" t="str">
        <f t="shared" ca="1" si="13"/>
        <v/>
      </c>
      <c r="K29" s="35" t="str">
        <f t="shared" ca="1" si="13"/>
        <v/>
      </c>
      <c r="L29" s="35" t="str">
        <f t="shared" ca="1" si="13"/>
        <v/>
      </c>
      <c r="M29" s="35" t="str">
        <f t="shared" ca="1" si="13"/>
        <v/>
      </c>
      <c r="N29" s="35" t="str">
        <f t="shared" ca="1" si="13"/>
        <v/>
      </c>
      <c r="O29" s="35" t="str">
        <f t="shared" ca="1" si="13"/>
        <v/>
      </c>
      <c r="P29" s="35" t="str">
        <f t="shared" ca="1" si="13"/>
        <v/>
      </c>
      <c r="Q29" s="35" t="str">
        <f t="shared" ca="1" si="13"/>
        <v/>
      </c>
      <c r="R29" s="35" t="str">
        <f t="shared" ca="1" si="13"/>
        <v/>
      </c>
      <c r="S29" s="35" t="str">
        <f t="shared" ca="1" si="13"/>
        <v/>
      </c>
      <c r="T29" s="35" t="str">
        <f t="shared" ca="1" si="13"/>
        <v/>
      </c>
      <c r="U29" s="35" t="str">
        <f t="shared" ca="1" si="13"/>
        <v/>
      </c>
      <c r="V29" s="35" t="str">
        <f t="shared" ca="1" si="13"/>
        <v/>
      </c>
      <c r="W29" s="35" t="str">
        <f t="shared" ca="1" si="13"/>
        <v/>
      </c>
      <c r="X29" s="35" t="str">
        <f t="shared" ca="1" si="13"/>
        <v/>
      </c>
      <c r="Y29" s="35" t="str">
        <f t="shared" ca="1" si="14"/>
        <v/>
      </c>
      <c r="Z29" s="35" t="str">
        <f t="shared" ca="1" si="14"/>
        <v/>
      </c>
      <c r="AA29" s="35" t="str">
        <f t="shared" ca="1" si="14"/>
        <v/>
      </c>
      <c r="AB29" s="35" t="str">
        <f t="shared" ca="1" si="14"/>
        <v/>
      </c>
      <c r="AC29" s="35" t="str">
        <f t="shared" ca="1" si="14"/>
        <v/>
      </c>
      <c r="AD29" s="35" t="str">
        <f t="shared" ca="1" si="14"/>
        <v/>
      </c>
      <c r="AE29" s="35" t="str">
        <f t="shared" ca="1" si="14"/>
        <v/>
      </c>
      <c r="AF29" s="35" t="str">
        <f t="shared" ca="1" si="14"/>
        <v/>
      </c>
      <c r="AG29" s="35" t="str">
        <f t="shared" ca="1" si="14"/>
        <v/>
      </c>
      <c r="AH29" s="35" t="str">
        <f t="shared" ca="1" si="14"/>
        <v/>
      </c>
      <c r="AI29" s="35" t="str">
        <f t="shared" ca="1" si="14"/>
        <v/>
      </c>
      <c r="AJ29" s="35" t="str">
        <f t="shared" ca="1" si="14"/>
        <v/>
      </c>
      <c r="AK29" s="35" t="str">
        <f t="shared" ca="1" si="14"/>
        <v/>
      </c>
      <c r="AL29" s="35" t="str">
        <f t="shared" ca="1" si="14"/>
        <v/>
      </c>
      <c r="AM29" s="35" t="str">
        <f t="shared" ca="1" si="14"/>
        <v/>
      </c>
      <c r="AN29" s="35" t="str">
        <f t="shared" ca="1" si="11"/>
        <v/>
      </c>
      <c r="AO29" s="35" t="str">
        <f t="shared" ca="1" si="11"/>
        <v/>
      </c>
      <c r="AP29" s="35" t="str">
        <f t="shared" ca="1" si="11"/>
        <v/>
      </c>
      <c r="AQ29" s="35" t="str">
        <f t="shared" ca="1" si="11"/>
        <v/>
      </c>
      <c r="AR29" s="35" t="str">
        <f t="shared" ca="1" si="11"/>
        <v/>
      </c>
      <c r="AS29" s="35" t="str">
        <f t="shared" ca="1" si="11"/>
        <v/>
      </c>
      <c r="AT29" s="35" t="str">
        <f t="shared" ca="1" si="11"/>
        <v/>
      </c>
      <c r="AU29" s="35" t="str">
        <f t="shared" ca="1" si="11"/>
        <v/>
      </c>
      <c r="AV29" s="35" t="str">
        <f t="shared" ca="1" si="11"/>
        <v/>
      </c>
      <c r="AW29" s="35" t="str">
        <f t="shared" ca="1" si="11"/>
        <v/>
      </c>
      <c r="AX29" s="35" t="str">
        <f t="shared" ca="1" si="11"/>
        <v/>
      </c>
      <c r="AY29" s="35" t="str">
        <f t="shared" ca="1" si="11"/>
        <v/>
      </c>
      <c r="AZ29" s="35" t="str">
        <f t="shared" ca="1" si="11"/>
        <v/>
      </c>
      <c r="BA29" s="35" t="str">
        <f t="shared" ca="1" si="11"/>
        <v/>
      </c>
      <c r="BB29" s="35" t="str">
        <f t="shared" ca="1" si="11"/>
        <v/>
      </c>
      <c r="BC29" s="35" t="str">
        <f t="shared" ca="1" si="11"/>
        <v/>
      </c>
      <c r="BD29" s="35" t="str">
        <f t="shared" ca="1" si="12"/>
        <v/>
      </c>
      <c r="BE29" s="35" t="str">
        <f t="shared" ca="1" si="12"/>
        <v/>
      </c>
      <c r="BF29" s="35" t="str">
        <f t="shared" ca="1" si="12"/>
        <v/>
      </c>
      <c r="BG29" s="35" t="str">
        <f t="shared" ca="1" si="12"/>
        <v/>
      </c>
      <c r="BH29" s="35" t="str">
        <f t="shared" ca="1" si="12"/>
        <v/>
      </c>
      <c r="BI29" s="35" t="str">
        <f t="shared" ca="1" si="12"/>
        <v/>
      </c>
      <c r="BJ29" s="35" t="str">
        <f t="shared" ca="1" si="12"/>
        <v/>
      </c>
      <c r="BK29" s="35" t="str">
        <f t="shared" ca="1" si="12"/>
        <v/>
      </c>
      <c r="BL29" s="35" t="str">
        <f t="shared" ca="1" si="12"/>
        <v/>
      </c>
    </row>
    <row r="30" spans="1:64" s="2" customFormat="1" ht="30" customHeight="1" x14ac:dyDescent="0.25">
      <c r="A30" s="14"/>
      <c r="B30" s="48" t="s">
        <v>51</v>
      </c>
      <c r="C30" s="32" t="s">
        <v>56</v>
      </c>
      <c r="D30" s="32" t="s">
        <v>66</v>
      </c>
      <c r="E30" s="29">
        <v>1</v>
      </c>
      <c r="F30" s="50">
        <f>F29+G29</f>
        <v>45111</v>
      </c>
      <c r="G30" s="31">
        <v>1</v>
      </c>
      <c r="H30" s="25"/>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row>
    <row r="31" spans="1:64" s="2" customFormat="1" ht="30" customHeight="1" x14ac:dyDescent="0.25">
      <c r="A31" s="14"/>
      <c r="B31" s="49" t="s">
        <v>59</v>
      </c>
      <c r="C31" s="32"/>
      <c r="D31" s="32"/>
      <c r="E31" s="29"/>
      <c r="F31" s="50"/>
      <c r="G31" s="31"/>
      <c r="H31" s="25"/>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row>
    <row r="32" spans="1:64" s="2" customFormat="1" ht="30" customHeight="1" x14ac:dyDescent="0.25">
      <c r="A32" s="14"/>
      <c r="B32" s="48" t="s">
        <v>60</v>
      </c>
      <c r="C32" s="32" t="s">
        <v>18</v>
      </c>
      <c r="D32" s="32" t="s">
        <v>67</v>
      </c>
      <c r="E32" s="29">
        <v>1</v>
      </c>
      <c r="F32" s="30">
        <f>F30+G30</f>
        <v>45112</v>
      </c>
      <c r="G32" s="31">
        <v>5</v>
      </c>
      <c r="H32" s="25"/>
      <c r="I32" s="35"/>
      <c r="J32" s="35"/>
      <c r="K32" s="35"/>
      <c r="L32" s="35"/>
      <c r="M32" s="35"/>
      <c r="N32" s="35"/>
      <c r="O32" s="35"/>
      <c r="P32" s="35"/>
      <c r="Q32" s="35"/>
      <c r="R32" s="35"/>
      <c r="S32" s="35"/>
      <c r="T32" s="35"/>
      <c r="U32" s="35"/>
      <c r="V32" s="35"/>
      <c r="W32" s="35"/>
      <c r="X32" s="35"/>
      <c r="Y32" s="35"/>
      <c r="Z32" s="35"/>
      <c r="AA32" s="35"/>
      <c r="AB32" s="35"/>
      <c r="AC32" s="35"/>
      <c r="AD32" s="35"/>
      <c r="AE32" s="35"/>
      <c r="AF32" s="35"/>
      <c r="AG32" s="35"/>
      <c r="AH32" s="35"/>
      <c r="AI32" s="35"/>
      <c r="AJ32" s="35"/>
      <c r="AK32" s="35"/>
      <c r="AL32" s="35"/>
      <c r="AM32" s="35"/>
      <c r="AN32" s="35"/>
      <c r="AO32" s="35"/>
      <c r="AP32" s="35"/>
      <c r="AQ32" s="35"/>
      <c r="AR32" s="35"/>
      <c r="AS32" s="35"/>
      <c r="AT32" s="35"/>
      <c r="AU32" s="35"/>
      <c r="AV32" s="35"/>
      <c r="AW32" s="35"/>
      <c r="AX32" s="35"/>
      <c r="AY32" s="35"/>
      <c r="AZ32" s="35"/>
      <c r="BA32" s="35"/>
      <c r="BB32" s="35"/>
      <c r="BC32" s="35"/>
      <c r="BD32" s="35"/>
      <c r="BE32" s="35"/>
      <c r="BF32" s="35"/>
      <c r="BG32" s="35"/>
      <c r="BH32" s="35"/>
      <c r="BI32" s="35"/>
      <c r="BJ32" s="35"/>
      <c r="BK32" s="35"/>
      <c r="BL32" s="35"/>
    </row>
    <row r="33" spans="1:64" s="2" customFormat="1" ht="30" customHeight="1" x14ac:dyDescent="0.25">
      <c r="A33" s="14"/>
      <c r="B33" s="48" t="s">
        <v>61</v>
      </c>
      <c r="C33" s="32" t="s">
        <v>18</v>
      </c>
      <c r="D33" s="32" t="s">
        <v>63</v>
      </c>
      <c r="E33" s="29">
        <v>1</v>
      </c>
      <c r="F33" s="30">
        <f>F32+G32</f>
        <v>45117</v>
      </c>
      <c r="G33" s="31">
        <v>5</v>
      </c>
      <c r="H33" s="25"/>
      <c r="I33" s="35"/>
      <c r="J33" s="35"/>
      <c r="K33" s="35"/>
      <c r="L33" s="35"/>
      <c r="M33" s="35"/>
      <c r="N33" s="35"/>
      <c r="O33" s="35"/>
      <c r="P33" s="35"/>
      <c r="Q33" s="35"/>
      <c r="R33" s="35"/>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5"/>
      <c r="AS33" s="35"/>
      <c r="AT33" s="35"/>
      <c r="AU33" s="35"/>
      <c r="AV33" s="35"/>
      <c r="AW33" s="35"/>
      <c r="AX33" s="35"/>
      <c r="AY33" s="35"/>
      <c r="AZ33" s="35"/>
      <c r="BA33" s="35"/>
      <c r="BB33" s="35"/>
      <c r="BC33" s="35"/>
      <c r="BD33" s="35"/>
      <c r="BE33" s="35"/>
      <c r="BF33" s="35"/>
      <c r="BG33" s="35"/>
      <c r="BH33" s="35"/>
      <c r="BI33" s="35"/>
      <c r="BJ33" s="35"/>
      <c r="BK33" s="35"/>
      <c r="BL33" s="35"/>
    </row>
    <row r="34" spans="1:64" s="2" customFormat="1" ht="30" customHeight="1" x14ac:dyDescent="0.25">
      <c r="A34" s="14"/>
      <c r="B34" s="48" t="s">
        <v>49</v>
      </c>
      <c r="C34" s="32" t="s">
        <v>18</v>
      </c>
      <c r="D34" s="32" t="s">
        <v>64</v>
      </c>
      <c r="E34" s="29">
        <v>1</v>
      </c>
      <c r="F34" s="30">
        <f>F33+G33</f>
        <v>45122</v>
      </c>
      <c r="G34" s="31">
        <v>5</v>
      </c>
      <c r="H34" s="25"/>
      <c r="I34" s="35" t="str">
        <f t="shared" ca="1" si="13"/>
        <v/>
      </c>
      <c r="J34" s="35" t="str">
        <f t="shared" ca="1" si="13"/>
        <v/>
      </c>
      <c r="K34" s="35" t="str">
        <f t="shared" ca="1" si="13"/>
        <v/>
      </c>
      <c r="L34" s="35" t="str">
        <f t="shared" ca="1" si="13"/>
        <v/>
      </c>
      <c r="M34" s="35" t="str">
        <f t="shared" ca="1" si="13"/>
        <v/>
      </c>
      <c r="N34" s="35" t="str">
        <f t="shared" ca="1" si="13"/>
        <v/>
      </c>
      <c r="O34" s="35" t="str">
        <f t="shared" ca="1" si="13"/>
        <v/>
      </c>
      <c r="P34" s="35" t="str">
        <f t="shared" ca="1" si="13"/>
        <v/>
      </c>
      <c r="Q34" s="35" t="str">
        <f t="shared" ca="1" si="13"/>
        <v/>
      </c>
      <c r="R34" s="35" t="str">
        <f t="shared" ca="1" si="13"/>
        <v/>
      </c>
      <c r="S34" s="35" t="str">
        <f t="shared" ca="1" si="13"/>
        <v/>
      </c>
      <c r="T34" s="35" t="str">
        <f t="shared" ca="1" si="13"/>
        <v/>
      </c>
      <c r="U34" s="35" t="str">
        <f t="shared" ca="1" si="13"/>
        <v/>
      </c>
      <c r="V34" s="35" t="str">
        <f t="shared" ca="1" si="13"/>
        <v/>
      </c>
      <c r="W34" s="35" t="str">
        <f t="shared" ca="1" si="13"/>
        <v/>
      </c>
      <c r="X34" s="35" t="str">
        <f t="shared" ca="1" si="13"/>
        <v/>
      </c>
      <c r="Y34" s="35" t="str">
        <f t="shared" ca="1" si="14"/>
        <v/>
      </c>
      <c r="Z34" s="35" t="str">
        <f t="shared" ca="1" si="14"/>
        <v/>
      </c>
      <c r="AA34" s="35" t="str">
        <f t="shared" ca="1" si="14"/>
        <v/>
      </c>
      <c r="AB34" s="35" t="str">
        <f t="shared" ca="1" si="14"/>
        <v/>
      </c>
      <c r="AC34" s="35" t="str">
        <f t="shared" ca="1" si="14"/>
        <v/>
      </c>
      <c r="AD34" s="35" t="str">
        <f t="shared" ca="1" si="14"/>
        <v/>
      </c>
      <c r="AE34" s="35" t="str">
        <f t="shared" ca="1" si="14"/>
        <v/>
      </c>
      <c r="AF34" s="35" t="str">
        <f t="shared" ca="1" si="14"/>
        <v/>
      </c>
      <c r="AG34" s="35" t="str">
        <f t="shared" ca="1" si="14"/>
        <v/>
      </c>
      <c r="AH34" s="35" t="str">
        <f t="shared" ca="1" si="14"/>
        <v/>
      </c>
      <c r="AI34" s="35" t="str">
        <f t="shared" ca="1" si="14"/>
        <v/>
      </c>
      <c r="AJ34" s="35" t="str">
        <f t="shared" ca="1" si="14"/>
        <v/>
      </c>
      <c r="AK34" s="35" t="str">
        <f t="shared" ca="1" si="14"/>
        <v/>
      </c>
      <c r="AL34" s="35" t="str">
        <f t="shared" ca="1" si="14"/>
        <v/>
      </c>
      <c r="AM34" s="35" t="str">
        <f t="shared" ca="1" si="14"/>
        <v/>
      </c>
      <c r="AN34" s="35" t="str">
        <f t="shared" ca="1" si="11"/>
        <v/>
      </c>
      <c r="AO34" s="35" t="str">
        <f t="shared" ca="1" si="11"/>
        <v/>
      </c>
      <c r="AP34" s="35" t="str">
        <f t="shared" ca="1" si="11"/>
        <v/>
      </c>
      <c r="AQ34" s="35" t="str">
        <f t="shared" ca="1" si="11"/>
        <v/>
      </c>
      <c r="AR34" s="35" t="str">
        <f t="shared" ca="1" si="11"/>
        <v/>
      </c>
      <c r="AS34" s="35" t="str">
        <f t="shared" ca="1" si="11"/>
        <v/>
      </c>
      <c r="AT34" s="35" t="str">
        <f t="shared" ca="1" si="11"/>
        <v/>
      </c>
      <c r="AU34" s="35" t="str">
        <f t="shared" ca="1" si="11"/>
        <v/>
      </c>
      <c r="AV34" s="35" t="str">
        <f t="shared" ca="1" si="11"/>
        <v/>
      </c>
      <c r="AW34" s="35" t="str">
        <f t="shared" ca="1" si="11"/>
        <v/>
      </c>
      <c r="AX34" s="35" t="str">
        <f t="shared" ca="1" si="11"/>
        <v/>
      </c>
      <c r="AY34" s="35" t="str">
        <f t="shared" ca="1" si="11"/>
        <v/>
      </c>
      <c r="AZ34" s="35" t="str">
        <f t="shared" ca="1" si="11"/>
        <v/>
      </c>
      <c r="BA34" s="35" t="str">
        <f t="shared" ca="1" si="11"/>
        <v/>
      </c>
      <c r="BB34" s="35" t="str">
        <f t="shared" ca="1" si="11"/>
        <v/>
      </c>
      <c r="BC34" s="35" t="str">
        <f t="shared" ca="1" si="11"/>
        <v/>
      </c>
      <c r="BD34" s="35" t="str">
        <f t="shared" ca="1" si="12"/>
        <v/>
      </c>
      <c r="BE34" s="35" t="str">
        <f t="shared" ca="1" si="12"/>
        <v/>
      </c>
      <c r="BF34" s="35" t="str">
        <f t="shared" ca="1" si="12"/>
        <v/>
      </c>
      <c r="BG34" s="35" t="str">
        <f t="shared" ca="1" si="12"/>
        <v/>
      </c>
      <c r="BH34" s="35" t="str">
        <f t="shared" ca="1" si="12"/>
        <v/>
      </c>
      <c r="BI34" s="35" t="str">
        <f t="shared" ca="1" si="12"/>
        <v/>
      </c>
      <c r="BJ34" s="35" t="str">
        <f t="shared" ca="1" si="12"/>
        <v/>
      </c>
      <c r="BK34" s="35" t="str">
        <f t="shared" ca="1" si="12"/>
        <v/>
      </c>
      <c r="BL34" s="35" t="str">
        <f t="shared" ca="1" si="12"/>
        <v/>
      </c>
    </row>
    <row r="35" spans="1:64" s="2" customFormat="1" ht="30" customHeight="1" x14ac:dyDescent="0.25">
      <c r="A35" s="14"/>
      <c r="B35" s="48" t="s">
        <v>62</v>
      </c>
      <c r="C35" s="32" t="s">
        <v>18</v>
      </c>
      <c r="D35" s="32" t="s">
        <v>65</v>
      </c>
      <c r="E35" s="29">
        <v>1</v>
      </c>
      <c r="F35" s="30">
        <f>F34+G34</f>
        <v>45127</v>
      </c>
      <c r="G35" s="31">
        <v>5</v>
      </c>
      <c r="H35" s="25"/>
      <c r="I35" s="35" t="str">
        <f t="shared" ca="1" si="13"/>
        <v/>
      </c>
      <c r="J35" s="35" t="str">
        <f t="shared" ca="1" si="13"/>
        <v/>
      </c>
      <c r="K35" s="35" t="str">
        <f t="shared" ca="1" si="13"/>
        <v/>
      </c>
      <c r="L35" s="35" t="str">
        <f t="shared" ca="1" si="13"/>
        <v/>
      </c>
      <c r="M35" s="35" t="str">
        <f t="shared" ca="1" si="13"/>
        <v/>
      </c>
      <c r="N35" s="35" t="str">
        <f t="shared" ca="1" si="13"/>
        <v/>
      </c>
      <c r="O35" s="35" t="str">
        <f t="shared" ca="1" si="13"/>
        <v/>
      </c>
      <c r="P35" s="35" t="str">
        <f t="shared" ca="1" si="13"/>
        <v/>
      </c>
      <c r="Q35" s="35" t="str">
        <f t="shared" ca="1" si="13"/>
        <v/>
      </c>
      <c r="R35" s="35" t="str">
        <f t="shared" ca="1" si="13"/>
        <v/>
      </c>
      <c r="S35" s="35" t="str">
        <f t="shared" ca="1" si="13"/>
        <v/>
      </c>
      <c r="T35" s="35" t="str">
        <f t="shared" ca="1" si="13"/>
        <v/>
      </c>
      <c r="U35" s="35" t="str">
        <f t="shared" ca="1" si="13"/>
        <v/>
      </c>
      <c r="V35" s="35" t="str">
        <f t="shared" ca="1" si="13"/>
        <v/>
      </c>
      <c r="W35" s="35" t="str">
        <f t="shared" ca="1" si="13"/>
        <v/>
      </c>
      <c r="X35" s="35" t="str">
        <f t="shared" ca="1" si="13"/>
        <v/>
      </c>
      <c r="Y35" s="35" t="str">
        <f t="shared" ca="1" si="14"/>
        <v/>
      </c>
      <c r="Z35" s="35" t="str">
        <f t="shared" ca="1" si="14"/>
        <v/>
      </c>
      <c r="AA35" s="35" t="str">
        <f t="shared" ca="1" si="14"/>
        <v/>
      </c>
      <c r="AB35" s="35" t="str">
        <f t="shared" ca="1" si="14"/>
        <v/>
      </c>
      <c r="AC35" s="35" t="str">
        <f t="shared" ca="1" si="14"/>
        <v/>
      </c>
      <c r="AD35" s="35" t="str">
        <f t="shared" ca="1" si="14"/>
        <v/>
      </c>
      <c r="AE35" s="35" t="str">
        <f t="shared" ca="1" si="14"/>
        <v/>
      </c>
      <c r="AF35" s="35" t="str">
        <f t="shared" ca="1" si="14"/>
        <v/>
      </c>
      <c r="AG35" s="35" t="str">
        <f t="shared" ca="1" si="14"/>
        <v/>
      </c>
      <c r="AH35" s="35" t="str">
        <f t="shared" ca="1" si="14"/>
        <v/>
      </c>
      <c r="AI35" s="35" t="str">
        <f t="shared" ca="1" si="14"/>
        <v/>
      </c>
      <c r="AJ35" s="35" t="str">
        <f t="shared" ca="1" si="14"/>
        <v/>
      </c>
      <c r="AK35" s="35" t="str">
        <f t="shared" ca="1" si="14"/>
        <v/>
      </c>
      <c r="AL35" s="35" t="str">
        <f t="shared" ca="1" si="14"/>
        <v/>
      </c>
      <c r="AM35" s="35" t="str">
        <f t="shared" ca="1" si="14"/>
        <v/>
      </c>
      <c r="AN35" s="35" t="str">
        <f t="shared" ca="1" si="11"/>
        <v/>
      </c>
      <c r="AO35" s="35" t="str">
        <f t="shared" ca="1" si="11"/>
        <v/>
      </c>
      <c r="AP35" s="35" t="str">
        <f t="shared" ca="1" si="11"/>
        <v/>
      </c>
      <c r="AQ35" s="35" t="str">
        <f t="shared" ca="1" si="11"/>
        <v/>
      </c>
      <c r="AR35" s="35" t="str">
        <f t="shared" ca="1" si="11"/>
        <v/>
      </c>
      <c r="AS35" s="35" t="str">
        <f t="shared" ca="1" si="11"/>
        <v/>
      </c>
      <c r="AT35" s="35" t="str">
        <f t="shared" ca="1" si="11"/>
        <v/>
      </c>
      <c r="AU35" s="35" t="str">
        <f t="shared" ca="1" si="11"/>
        <v/>
      </c>
      <c r="AV35" s="35" t="str">
        <f t="shared" ca="1" si="11"/>
        <v/>
      </c>
      <c r="AW35" s="35" t="str">
        <f t="shared" ca="1" si="11"/>
        <v/>
      </c>
      <c r="AX35" s="35" t="str">
        <f t="shared" ca="1" si="11"/>
        <v/>
      </c>
      <c r="AY35" s="35" t="str">
        <f t="shared" ca="1" si="11"/>
        <v/>
      </c>
      <c r="AZ35" s="35" t="str">
        <f t="shared" ca="1" si="11"/>
        <v/>
      </c>
      <c r="BA35" s="35" t="str">
        <f t="shared" ca="1" si="11"/>
        <v/>
      </c>
      <c r="BB35" s="35" t="str">
        <f t="shared" ca="1" si="11"/>
        <v/>
      </c>
      <c r="BC35" s="35" t="str">
        <f t="shared" ca="1" si="11"/>
        <v/>
      </c>
      <c r="BD35" s="35" t="str">
        <f t="shared" ca="1" si="12"/>
        <v/>
      </c>
      <c r="BE35" s="35" t="str">
        <f t="shared" ca="1" si="12"/>
        <v/>
      </c>
      <c r="BF35" s="35" t="str">
        <f t="shared" ca="1" si="12"/>
        <v/>
      </c>
      <c r="BG35" s="35" t="str">
        <f t="shared" ca="1" si="12"/>
        <v/>
      </c>
      <c r="BH35" s="35" t="str">
        <f t="shared" ca="1" si="12"/>
        <v/>
      </c>
      <c r="BI35" s="35" t="str">
        <f t="shared" ca="1" si="12"/>
        <v/>
      </c>
      <c r="BJ35" s="35" t="str">
        <f t="shared" ca="1" si="12"/>
        <v/>
      </c>
      <c r="BK35" s="35" t="str">
        <f t="shared" ca="1" si="12"/>
        <v/>
      </c>
      <c r="BL35" s="35" t="str">
        <f t="shared" ca="1" si="12"/>
        <v/>
      </c>
    </row>
    <row r="36" spans="1:64" s="2" customFormat="1" ht="30" customHeight="1" x14ac:dyDescent="0.25">
      <c r="A36" s="14" t="s">
        <v>9</v>
      </c>
      <c r="B36" s="48" t="s">
        <v>52</v>
      </c>
      <c r="C36" s="32" t="s">
        <v>56</v>
      </c>
      <c r="D36" s="32" t="s">
        <v>66</v>
      </c>
      <c r="E36" s="29"/>
      <c r="F36" s="50">
        <f>F35+G35</f>
        <v>45132</v>
      </c>
      <c r="G36" s="31"/>
      <c r="H36" s="25"/>
      <c r="I36" s="35" t="str">
        <f t="shared" ca="1" si="13"/>
        <v/>
      </c>
      <c r="J36" s="35" t="str">
        <f t="shared" ca="1" si="13"/>
        <v/>
      </c>
      <c r="K36" s="35" t="str">
        <f t="shared" ca="1" si="13"/>
        <v/>
      </c>
      <c r="L36" s="35" t="str">
        <f t="shared" ca="1" si="13"/>
        <v/>
      </c>
      <c r="M36" s="35" t="str">
        <f t="shared" ca="1" si="13"/>
        <v/>
      </c>
      <c r="N36" s="35" t="str">
        <f t="shared" ca="1" si="13"/>
        <v/>
      </c>
      <c r="O36" s="35" t="str">
        <f t="shared" ca="1" si="13"/>
        <v/>
      </c>
      <c r="P36" s="35" t="str">
        <f t="shared" ca="1" si="13"/>
        <v/>
      </c>
      <c r="Q36" s="35" t="str">
        <f t="shared" ca="1" si="13"/>
        <v/>
      </c>
      <c r="R36" s="35" t="str">
        <f t="shared" ca="1" si="13"/>
        <v/>
      </c>
      <c r="S36" s="35" t="str">
        <f t="shared" ca="1" si="13"/>
        <v/>
      </c>
      <c r="T36" s="35" t="str">
        <f t="shared" ca="1" si="13"/>
        <v/>
      </c>
      <c r="U36" s="35" t="str">
        <f t="shared" ca="1" si="13"/>
        <v/>
      </c>
      <c r="V36" s="35" t="str">
        <f t="shared" ca="1" si="13"/>
        <v/>
      </c>
      <c r="W36" s="35" t="str">
        <f t="shared" ca="1" si="13"/>
        <v/>
      </c>
      <c r="X36" s="35" t="str">
        <f t="shared" ca="1" si="13"/>
        <v/>
      </c>
      <c r="Y36" s="35" t="str">
        <f t="shared" ca="1" si="14"/>
        <v/>
      </c>
      <c r="Z36" s="35" t="str">
        <f t="shared" ca="1" si="14"/>
        <v/>
      </c>
      <c r="AA36" s="35" t="str">
        <f t="shared" ca="1" si="14"/>
        <v/>
      </c>
      <c r="AB36" s="35" t="str">
        <f t="shared" ca="1" si="14"/>
        <v/>
      </c>
      <c r="AC36" s="35" t="str">
        <f t="shared" ca="1" si="14"/>
        <v/>
      </c>
      <c r="AD36" s="35" t="str">
        <f t="shared" ca="1" si="14"/>
        <v/>
      </c>
      <c r="AE36" s="35" t="str">
        <f t="shared" ca="1" si="14"/>
        <v/>
      </c>
      <c r="AF36" s="35" t="str">
        <f t="shared" ca="1" si="14"/>
        <v/>
      </c>
      <c r="AG36" s="35" t="str">
        <f t="shared" ca="1" si="14"/>
        <v/>
      </c>
      <c r="AH36" s="35" t="str">
        <f t="shared" ca="1" si="14"/>
        <v/>
      </c>
      <c r="AI36" s="35" t="str">
        <f t="shared" ca="1" si="14"/>
        <v/>
      </c>
      <c r="AJ36" s="35" t="str">
        <f t="shared" ca="1" si="14"/>
        <v/>
      </c>
      <c r="AK36" s="35" t="str">
        <f t="shared" ca="1" si="14"/>
        <v/>
      </c>
      <c r="AL36" s="35" t="str">
        <f t="shared" ca="1" si="14"/>
        <v/>
      </c>
      <c r="AM36" s="35" t="str">
        <f t="shared" ca="1" si="14"/>
        <v/>
      </c>
      <c r="AN36" s="35" t="str">
        <f t="shared" ca="1" si="11"/>
        <v/>
      </c>
      <c r="AO36" s="35" t="str">
        <f t="shared" ca="1" si="11"/>
        <v/>
      </c>
      <c r="AP36" s="35" t="str">
        <f t="shared" ca="1" si="11"/>
        <v/>
      </c>
      <c r="AQ36" s="35" t="str">
        <f t="shared" ca="1" si="11"/>
        <v/>
      </c>
      <c r="AR36" s="35" t="str">
        <f t="shared" ca="1" si="11"/>
        <v/>
      </c>
      <c r="AS36" s="35" t="str">
        <f t="shared" ca="1" si="11"/>
        <v/>
      </c>
      <c r="AT36" s="35" t="str">
        <f t="shared" ca="1" si="11"/>
        <v/>
      </c>
      <c r="AU36" s="35" t="str">
        <f t="shared" ca="1" si="11"/>
        <v/>
      </c>
      <c r="AV36" s="35" t="str">
        <f t="shared" ca="1" si="11"/>
        <v/>
      </c>
      <c r="AW36" s="35" t="str">
        <f t="shared" ca="1" si="11"/>
        <v/>
      </c>
      <c r="AX36" s="35" t="str">
        <f t="shared" ca="1" si="11"/>
        <v/>
      </c>
      <c r="AY36" s="35" t="str">
        <f t="shared" ca="1" si="11"/>
        <v/>
      </c>
      <c r="AZ36" s="35" t="str">
        <f t="shared" ca="1" si="11"/>
        <v/>
      </c>
      <c r="BA36" s="35" t="str">
        <f t="shared" ca="1" si="11"/>
        <v/>
      </c>
      <c r="BB36" s="35" t="str">
        <f t="shared" ca="1" si="11"/>
        <v/>
      </c>
      <c r="BC36" s="35" t="str">
        <f t="shared" ca="1" si="11"/>
        <v/>
      </c>
      <c r="BD36" s="35" t="str">
        <f t="shared" ca="1" si="12"/>
        <v/>
      </c>
      <c r="BE36" s="35" t="str">
        <f t="shared" ca="1" si="12"/>
        <v/>
      </c>
      <c r="BF36" s="35" t="str">
        <f t="shared" ca="1" si="12"/>
        <v/>
      </c>
      <c r="BG36" s="35" t="str">
        <f t="shared" ca="1" si="12"/>
        <v/>
      </c>
      <c r="BH36" s="35" t="str">
        <f t="shared" ca="1" si="12"/>
        <v/>
      </c>
      <c r="BI36" s="35" t="str">
        <f t="shared" ca="1" si="12"/>
        <v/>
      </c>
      <c r="BJ36" s="35" t="str">
        <f t="shared" ca="1" si="12"/>
        <v/>
      </c>
      <c r="BK36" s="35" t="str">
        <f t="shared" ca="1" si="12"/>
        <v/>
      </c>
      <c r="BL36" s="35" t="str">
        <f t="shared" ca="1" si="12"/>
        <v/>
      </c>
    </row>
    <row r="37" spans="1:64" s="2" customFormat="1" ht="30" customHeight="1" thickBot="1" x14ac:dyDescent="0.3">
      <c r="A37" s="15" t="s">
        <v>10</v>
      </c>
      <c r="B37" s="23" t="s">
        <v>12</v>
      </c>
      <c r="C37" s="23"/>
      <c r="D37" s="23"/>
      <c r="E37" s="23"/>
      <c r="F37" s="37"/>
      <c r="G37" s="23"/>
      <c r="H37" s="43"/>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row>
    <row r="38" spans="1:64" ht="30" customHeight="1" x14ac:dyDescent="0.25">
      <c r="D38" s="5"/>
      <c r="G38" s="16"/>
      <c r="H38" s="4"/>
    </row>
    <row r="39" spans="1:64" ht="30" customHeight="1" x14ac:dyDescent="0.25">
      <c r="D39" s="6"/>
    </row>
  </sheetData>
  <mergeCells count="9">
    <mergeCell ref="X2:AA2"/>
    <mergeCell ref="AC2:AF2"/>
    <mergeCell ref="D3:E3"/>
    <mergeCell ref="D4:E4"/>
    <mergeCell ref="B5:H5"/>
    <mergeCell ref="F3:G3"/>
    <mergeCell ref="I2:L2"/>
    <mergeCell ref="N2:Q2"/>
    <mergeCell ref="S2:V2"/>
  </mergeCells>
  <conditionalFormatting sqref="E7:E36">
    <cfRule type="dataBar" priority="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7">
    <cfRule type="expression" dxfId="11" priority="1">
      <formula>AND(TODAY()&gt;=I$5,TODAY()&lt;J$5)</formula>
    </cfRule>
  </conditionalFormatting>
  <conditionalFormatting sqref="I4:AM4">
    <cfRule type="expression" dxfId="10" priority="7">
      <formula>I$5&lt;=EOMONTH($I$5,0)</formula>
    </cfRule>
  </conditionalFormatting>
  <conditionalFormatting sqref="J4:BL4">
    <cfRule type="expression" dxfId="9" priority="3">
      <formula>AND(J$5&lt;=EOMONTH($I$5,2),J$5&gt;EOMONTH($I$5,0),J$5&gt;EOMONTH($I$5,1))</formula>
    </cfRule>
  </conditionalFormatting>
  <conditionalFormatting sqref="I4:BL4">
    <cfRule type="expression" dxfId="8" priority="2">
      <formula>AND(I$5&lt;=EOMONTH($I$5,1),I$5&gt;EOMONTH($I$5,0))</formula>
    </cfRule>
  </conditionalFormatting>
  <conditionalFormatting sqref="I8:BL36">
    <cfRule type="expression" dxfId="7" priority="24" stopIfTrue="1">
      <formula>AND($C8="Riesgo bajo",I$5&gt;=$F8,I$5&lt;=$F8+$G8-1)</formula>
    </cfRule>
    <cfRule type="expression" dxfId="6" priority="43" stopIfTrue="1">
      <formula>AND($C8="Riesgo alto",I$5&gt;=$F8,I$5&lt;=$F8+$G8-1)</formula>
    </cfRule>
    <cfRule type="expression" dxfId="5" priority="61" stopIfTrue="1">
      <formula>AND($C8="Según lo previsto",I$5&gt;=$F8,I$5&lt;=$F8+$G8-1)</formula>
    </cfRule>
    <cfRule type="expression" dxfId="4" priority="62" stopIfTrue="1">
      <formula>AND($C8="Riesgo medio",I$5&gt;=$F8,I$5&lt;=$F8+$G8-1)</formula>
    </cfRule>
    <cfRule type="expression" dxfId="3" priority="63" stopIfTrue="1">
      <formula>AND(LEN($C8)=0,I$5&gt;=$F8,I$5&lt;=$F8+$G8-1)</formula>
    </cfRule>
  </conditionalFormatting>
  <dataValidations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5:C19 C21:C36 C10:C13"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28575</xdr:colOff>
                    <xdr:row>5</xdr:row>
                    <xdr:rowOff>57150</xdr:rowOff>
                  </from>
                  <to>
                    <xdr:col>63</xdr:col>
                    <xdr:colOff>361950</xdr:colOff>
                    <xdr:row>5</xdr:row>
                    <xdr:rowOff>238125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E7:E36</xm:sqref>
        </x14:conditionalFormatting>
        <x14:conditionalFormatting xmlns:xm="http://schemas.microsoft.com/office/excel/2006/main">
          <x14:cfRule type="iconSet" priority="70"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I37:BL37</xm:sqref>
        </x14:conditionalFormatting>
        <x14:conditionalFormatting xmlns:xm="http://schemas.microsoft.com/office/excel/2006/main">
          <x14:cfRule type="iconSet" priority="145"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I8:BL36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140625" defaultRowHeight="12.75" x14ac:dyDescent="0.2"/>
  <cols>
    <col min="1" max="1" width="87.140625" style="10" customWidth="1"/>
    <col min="2" max="16384" width="9.140625" style="8"/>
  </cols>
  <sheetData>
    <row r="1" spans="1:1" s="9" customFormat="1" ht="26.25" x14ac:dyDescent="0.4">
      <c r="A1" s="11" t="s">
        <v>27</v>
      </c>
    </row>
    <row r="2" spans="1:1" ht="135" x14ac:dyDescent="0.2">
      <c r="A2" s="12" t="s">
        <v>28</v>
      </c>
    </row>
    <row r="3" spans="1:1" ht="26.25" customHeight="1" x14ac:dyDescent="0.2">
      <c r="A3" s="11" t="s">
        <v>29</v>
      </c>
    </row>
    <row r="4" spans="1:1" s="10" customFormat="1" ht="216.75" customHeight="1" x14ac:dyDescent="0.25">
      <c r="A4" s="13" t="s">
        <v>30</v>
      </c>
    </row>
    <row r="5" spans="1:1" ht="15" x14ac:dyDescent="0.2">
      <c r="A5" s="44" t="s">
        <v>31</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2023-07-26T21:36:46Z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